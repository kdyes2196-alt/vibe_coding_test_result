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tc\Desktop\바탕화면\10. 기타\개인\★ 바이브코딩 챌린지\"/>
    </mc:Choice>
  </mc:AlternateContent>
  <xr:revisionPtr revIDLastSave="0" documentId="8_{D8D684C6-78DF-4ED3-B118-928B7180260F}" xr6:coauthVersionLast="47" xr6:coauthVersionMax="47" xr10:uidLastSave="{00000000-0000-0000-0000-000000000000}"/>
  <bookViews>
    <workbookView xWindow="-120" yWindow="-120" windowWidth="29040" windowHeight="15840" activeTab="1" xr2:uid="{EFB7267A-F231-4541-8281-5B295E79991C}"/>
  </bookViews>
  <sheets>
    <sheet name="카드이동서비스채널확대_테스트현황(요약)" sheetId="1" r:id="rId1"/>
    <sheet name="카드이동서비스채널확대_테스트현황(상세)" sheetId="2" r:id="rId2"/>
    <sheet name="KB국민카드" sheetId="4" r:id="rId3"/>
    <sheet name="삼성카드" sheetId="16" r:id="rId4"/>
    <sheet name="롯데카드" sheetId="18" r:id="rId5"/>
    <sheet name="현대카드" sheetId="19" r:id="rId6"/>
    <sheet name="비씨카드" sheetId="20" r:id="rId7"/>
    <sheet name="하나카드" sheetId="21" r:id="rId8"/>
    <sheet name="신한카드" sheetId="22" r:id="rId9"/>
    <sheet name="농협카드" sheetId="23" r:id="rId10"/>
    <sheet name="전북은행카드" sheetId="24" r:id="rId11"/>
    <sheet name="토스뱅크" sheetId="25" r:id="rId12"/>
    <sheet name="전북은행" sheetId="26" r:id="rId13"/>
    <sheet name="케이뱅크" sheetId="27" r:id="rId14"/>
  </sheets>
  <definedNames>
    <definedName name="_xlnm._FilterDatabase" localSheetId="2">KB국민카드!$A$2:$I$8</definedName>
    <definedName name="_xlnm._FilterDatabase" localSheetId="9">농협카드!$A$2:$I$8</definedName>
    <definedName name="_xlnm._FilterDatabase" localSheetId="4">롯데카드!$A$2:$I$8</definedName>
    <definedName name="_xlnm._FilterDatabase" localSheetId="6">비씨카드!$A$2:$I$8</definedName>
    <definedName name="_xlnm._FilterDatabase" localSheetId="3">삼성카드!$A$2:$I$8</definedName>
    <definedName name="_xlnm._FilterDatabase" localSheetId="8">신한카드!$A$2:$I$8</definedName>
    <definedName name="_xlnm._FilterDatabase" localSheetId="12">전북은행!$A$2:$I$4</definedName>
    <definedName name="_xlnm._FilterDatabase" localSheetId="10">전북은행카드!$A$2:$I$8</definedName>
    <definedName name="_xlnm._FilterDatabase" localSheetId="13">케이뱅크!$A$2:$I$4</definedName>
    <definedName name="_xlnm._FilterDatabase" localSheetId="11">토스뱅크!$A$2:$I$4</definedName>
    <definedName name="_xlnm._FilterDatabase" localSheetId="7">하나카드!$A$2:$I$8</definedName>
    <definedName name="_xlnm._FilterDatabase" localSheetId="5">현대카드!$A$2:$I$8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7" l="1"/>
  <c r="I5" i="26"/>
  <c r="I5" i="25"/>
  <c r="I14" i="24"/>
  <c r="I13" i="24"/>
  <c r="I12" i="24"/>
  <c r="I11" i="24"/>
  <c r="I10" i="24"/>
  <c r="I9" i="24"/>
  <c r="I8" i="24"/>
  <c r="I7" i="24"/>
  <c r="I6" i="24"/>
  <c r="I5" i="24"/>
  <c r="I14" i="23"/>
  <c r="I13" i="23"/>
  <c r="I12" i="23"/>
  <c r="I11" i="23"/>
  <c r="I10" i="23"/>
  <c r="I9" i="23"/>
  <c r="I8" i="23"/>
  <c r="I7" i="23"/>
  <c r="I6" i="23"/>
  <c r="I5" i="23"/>
  <c r="I14" i="22"/>
  <c r="I13" i="22"/>
  <c r="I12" i="22"/>
  <c r="I11" i="22"/>
  <c r="I10" i="22"/>
  <c r="I9" i="22"/>
  <c r="I8" i="22"/>
  <c r="I7" i="22"/>
  <c r="I6" i="22"/>
  <c r="I14" i="21"/>
  <c r="I13" i="21"/>
  <c r="I12" i="21"/>
  <c r="I11" i="21"/>
  <c r="I10" i="21"/>
  <c r="I9" i="21"/>
  <c r="I8" i="21"/>
  <c r="I7" i="21"/>
  <c r="I6" i="21"/>
  <c r="I5" i="21"/>
  <c r="I14" i="20"/>
  <c r="I13" i="20"/>
  <c r="I12" i="20"/>
  <c r="I11" i="20"/>
  <c r="I10" i="20"/>
  <c r="I9" i="20"/>
  <c r="I8" i="20"/>
  <c r="I7" i="20"/>
  <c r="I6" i="20"/>
  <c r="I5" i="20"/>
  <c r="I14" i="19"/>
  <c r="I13" i="19"/>
  <c r="I12" i="19"/>
  <c r="I11" i="19"/>
  <c r="I10" i="19"/>
  <c r="I9" i="19"/>
  <c r="I8" i="19"/>
  <c r="I7" i="19"/>
  <c r="I6" i="19"/>
  <c r="I5" i="19"/>
  <c r="I14" i="18"/>
  <c r="I13" i="18"/>
  <c r="I12" i="18"/>
  <c r="I11" i="18"/>
  <c r="I10" i="18"/>
  <c r="I9" i="18"/>
  <c r="I8" i="18"/>
  <c r="I7" i="18"/>
  <c r="I6" i="18"/>
  <c r="I5" i="18"/>
  <c r="I14" i="16"/>
  <c r="I13" i="16"/>
  <c r="I12" i="16"/>
  <c r="I11" i="16"/>
  <c r="I10" i="16"/>
  <c r="I9" i="16"/>
  <c r="I8" i="16"/>
  <c r="I7" i="16"/>
  <c r="I5" i="16"/>
  <c r="I6" i="4"/>
  <c r="I7" i="4"/>
  <c r="I8" i="4"/>
  <c r="I9" i="4"/>
  <c r="I10" i="4"/>
  <c r="I11" i="4"/>
  <c r="I12" i="4"/>
  <c r="I13" i="4"/>
  <c r="I14" i="4"/>
  <c r="I5" i="4"/>
  <c r="AA6" i="2"/>
  <c r="X6" i="2" s="1"/>
  <c r="AA7" i="2"/>
  <c r="X7" i="2" s="1"/>
  <c r="AA8" i="2"/>
  <c r="X8" i="2" s="1"/>
  <c r="AA9" i="2"/>
  <c r="X9" i="2" s="1"/>
  <c r="AA10" i="2"/>
  <c r="X10" i="2" s="1"/>
  <c r="AA11" i="2"/>
  <c r="X11" i="2" s="1"/>
  <c r="AA12" i="2"/>
  <c r="X12" i="2" s="1"/>
  <c r="AA13" i="2"/>
  <c r="X13" i="2" s="1"/>
  <c r="AA14" i="2"/>
  <c r="X14" i="2" s="1"/>
  <c r="Q14" i="1" s="1"/>
  <c r="AA15" i="2"/>
  <c r="X15" i="2" s="1"/>
  <c r="AA16" i="2"/>
  <c r="X16" i="2" s="1"/>
  <c r="AA17" i="2"/>
  <c r="X17" i="2" s="1"/>
  <c r="Q14" i="2"/>
  <c r="K14" i="2" s="1"/>
  <c r="K14" i="1" s="1"/>
  <c r="R14" i="2"/>
  <c r="S14" i="2"/>
  <c r="L14" i="2" s="1"/>
  <c r="L14" i="1" s="1"/>
  <c r="T14" i="2"/>
  <c r="M14" i="2" s="1"/>
  <c r="M14" i="1" s="1"/>
  <c r="U14" i="2"/>
  <c r="N14" i="2" s="1"/>
  <c r="N14" i="1" s="1"/>
  <c r="V14" i="2"/>
  <c r="O14" i="2" s="1"/>
  <c r="O14" i="1" s="1"/>
  <c r="W14" i="2"/>
  <c r="P14" i="2" s="1"/>
  <c r="P14" i="1" s="1"/>
  <c r="AB14" i="2"/>
  <c r="Y14" i="2" s="1"/>
  <c r="R15" i="1" s="1"/>
  <c r="AC14" i="2"/>
  <c r="Z14" i="2" s="1"/>
  <c r="S14" i="1" s="1"/>
  <c r="E11" i="2" a="1"/>
  <c r="E6" i="2" a="1"/>
  <c r="F11" i="2" a="1"/>
  <c r="H6" i="2" a="1"/>
  <c r="J9" i="2" a="1"/>
  <c r="I7" i="2" a="1"/>
  <c r="I17" i="2" a="1"/>
  <c r="F12" i="2" a="1"/>
  <c r="G11" i="2" a="1"/>
  <c r="I8" i="2" a="1"/>
  <c r="I16" i="2" a="1"/>
  <c r="G7" i="2" a="1"/>
  <c r="I6" i="2" a="1"/>
  <c r="H14" i="2" a="1"/>
  <c r="I10" i="2" a="1"/>
  <c r="G10" i="2" a="1"/>
  <c r="I13" i="2" a="1"/>
  <c r="G14" i="2" a="1"/>
  <c r="I15" i="2" a="1"/>
  <c r="E13" i="2" a="1"/>
  <c r="F8" i="2" a="1"/>
  <c r="F6" i="2" a="1"/>
  <c r="G8" i="2" a="1"/>
  <c r="I12" i="2" a="1"/>
  <c r="G13" i="2" a="1"/>
  <c r="J12" i="2" a="1"/>
  <c r="H9" i="2" a="1"/>
  <c r="G12" i="2" a="1"/>
  <c r="H8" i="2" a="1"/>
  <c r="F10" i="2" a="1"/>
  <c r="I9" i="2" a="1"/>
  <c r="G9" i="2" a="1"/>
  <c r="E8" i="2" a="1"/>
  <c r="F9" i="2" a="1"/>
  <c r="H11" i="2" a="1"/>
  <c r="J10" i="2" a="1"/>
  <c r="J6" i="2" a="1"/>
  <c r="E14" i="2" a="1"/>
  <c r="J11" i="2" a="1"/>
  <c r="H13" i="2" a="1"/>
  <c r="H10" i="2" a="1"/>
  <c r="I11" i="2" a="1"/>
  <c r="I14" i="2" a="1"/>
  <c r="G6" i="2" a="1"/>
  <c r="H7" i="2" a="1"/>
  <c r="F14" i="2" a="1"/>
  <c r="J13" i="2" a="1"/>
  <c r="E7" i="2" a="1"/>
  <c r="J7" i="2" a="1"/>
  <c r="H12" i="2" a="1"/>
  <c r="F13" i="2" a="1"/>
  <c r="J14" i="2" a="1"/>
  <c r="J8" i="2" a="1"/>
  <c r="E9" i="2" a="1"/>
  <c r="E10" i="2" a="1"/>
  <c r="R14" i="1" l="1"/>
  <c r="J13" i="2"/>
  <c r="J10" i="2"/>
  <c r="J14" i="2"/>
  <c r="J14" i="1" s="1"/>
  <c r="J12" i="2"/>
  <c r="J11" i="2"/>
  <c r="J9" i="2"/>
  <c r="J8" i="2"/>
  <c r="J7" i="2"/>
  <c r="J6" i="2"/>
  <c r="I16" i="2"/>
  <c r="I17" i="2"/>
  <c r="I15" i="2"/>
  <c r="I8" i="2"/>
  <c r="I9" i="2"/>
  <c r="I14" i="2"/>
  <c r="I14" i="1" s="1"/>
  <c r="I13" i="2"/>
  <c r="I12" i="2"/>
  <c r="I11" i="2"/>
  <c r="I10" i="2"/>
  <c r="I7" i="2"/>
  <c r="I6" i="2"/>
  <c r="H11" i="2"/>
  <c r="H10" i="2"/>
  <c r="H9" i="2"/>
  <c r="H8" i="2"/>
  <c r="H7" i="2"/>
  <c r="H14" i="2"/>
  <c r="H14" i="1" s="1"/>
  <c r="H13" i="2"/>
  <c r="H12" i="2"/>
  <c r="H6" i="2"/>
  <c r="G12" i="2"/>
  <c r="G10" i="2"/>
  <c r="G14" i="2"/>
  <c r="G14" i="1" s="1"/>
  <c r="G13" i="2"/>
  <c r="G11" i="2"/>
  <c r="G9" i="2"/>
  <c r="G8" i="2"/>
  <c r="G7" i="2"/>
  <c r="G6" i="2"/>
  <c r="F14" i="2"/>
  <c r="F14" i="1" s="1"/>
  <c r="F12" i="2"/>
  <c r="F11" i="2"/>
  <c r="F10" i="2"/>
  <c r="F9" i="2"/>
  <c r="F8" i="2"/>
  <c r="F13" i="2"/>
  <c r="F6" i="2"/>
  <c r="E7" i="2"/>
  <c r="E14" i="2"/>
  <c r="E14" i="1" s="1"/>
  <c r="E13" i="2"/>
  <c r="E11" i="2"/>
  <c r="E10" i="2"/>
  <c r="E9" i="2"/>
  <c r="E8" i="2"/>
  <c r="E6" i="2"/>
  <c r="AB6" i="2"/>
  <c r="Y6" i="2" s="1"/>
  <c r="R6" i="1" s="1"/>
  <c r="AB7" i="2"/>
  <c r="Y7" i="2" s="1"/>
  <c r="R7" i="1" s="1"/>
  <c r="AC7" i="2"/>
  <c r="Z7" i="2" s="1"/>
  <c r="AC8" i="2"/>
  <c r="Z8" i="2" s="1"/>
  <c r="AC9" i="2"/>
  <c r="Z9" i="2" s="1"/>
  <c r="AC10" i="2"/>
  <c r="Z10" i="2" s="1"/>
  <c r="AC11" i="2"/>
  <c r="Z11" i="2" s="1"/>
  <c r="AC12" i="2"/>
  <c r="Z12" i="2" s="1"/>
  <c r="AC13" i="2"/>
  <c r="Z13" i="2" s="1"/>
  <c r="AC15" i="2"/>
  <c r="Z15" i="2" s="1"/>
  <c r="AC16" i="2"/>
  <c r="Z16" i="2" s="1"/>
  <c r="AC17" i="2"/>
  <c r="Z17" i="2" s="1"/>
  <c r="AC6" i="2"/>
  <c r="Z6" i="2" s="1"/>
  <c r="AB8" i="2"/>
  <c r="Y8" i="2" s="1"/>
  <c r="R8" i="1" s="1"/>
  <c r="AB9" i="2"/>
  <c r="Y9" i="2" s="1"/>
  <c r="R9" i="1" s="1"/>
  <c r="AB10" i="2"/>
  <c r="Y10" i="2" s="1"/>
  <c r="R10" i="1" s="1"/>
  <c r="AB11" i="2"/>
  <c r="Y11" i="2" s="1"/>
  <c r="R11" i="1" s="1"/>
  <c r="AB12" i="2"/>
  <c r="Y12" i="2" s="1"/>
  <c r="R12" i="1" s="1"/>
  <c r="AB13" i="2"/>
  <c r="Y13" i="2" s="1"/>
  <c r="R13" i="1" s="1"/>
  <c r="AB15" i="2"/>
  <c r="Y15" i="2" s="1"/>
  <c r="R16" i="1" s="1"/>
  <c r="AB16" i="2"/>
  <c r="Y16" i="2" s="1"/>
  <c r="R17" i="1" s="1"/>
  <c r="AB17" i="2"/>
  <c r="Y17" i="2" s="1"/>
  <c r="D14" i="1" l="1"/>
  <c r="S13" i="1"/>
  <c r="Q13" i="1"/>
  <c r="F13" i="1"/>
  <c r="G13" i="1"/>
  <c r="H13" i="1"/>
  <c r="I13" i="1"/>
  <c r="J13" i="1"/>
  <c r="E13" i="1"/>
  <c r="R13" i="2"/>
  <c r="S13" i="2"/>
  <c r="L13" i="2" s="1"/>
  <c r="L13" i="1" s="1"/>
  <c r="T13" i="2"/>
  <c r="M13" i="2" s="1"/>
  <c r="M13" i="1" s="1"/>
  <c r="U13" i="2"/>
  <c r="N13" i="2" s="1"/>
  <c r="N13" i="1" s="1"/>
  <c r="V13" i="2"/>
  <c r="O13" i="2" s="1"/>
  <c r="O13" i="1" s="1"/>
  <c r="W13" i="2"/>
  <c r="P13" i="2" s="1"/>
  <c r="P13" i="1" s="1"/>
  <c r="Q13" i="2"/>
  <c r="K13" i="2" s="1"/>
  <c r="K13" i="1" s="1"/>
  <c r="D13" i="1" l="1"/>
  <c r="W7" i="2"/>
  <c r="W8" i="2"/>
  <c r="W9" i="2"/>
  <c r="W10" i="2"/>
  <c r="W11" i="2"/>
  <c r="W12" i="2"/>
  <c r="W16" i="2"/>
  <c r="W17" i="2"/>
  <c r="V7" i="2"/>
  <c r="V8" i="2"/>
  <c r="V9" i="2"/>
  <c r="V10" i="2"/>
  <c r="V11" i="2"/>
  <c r="V12" i="2"/>
  <c r="V16" i="2"/>
  <c r="V17" i="2"/>
  <c r="U7" i="2"/>
  <c r="U8" i="2"/>
  <c r="U9" i="2"/>
  <c r="U10" i="2"/>
  <c r="U11" i="2"/>
  <c r="U12" i="2"/>
  <c r="U16" i="2"/>
  <c r="U17" i="2"/>
  <c r="T7" i="2"/>
  <c r="T8" i="2"/>
  <c r="T9" i="2"/>
  <c r="T10" i="2"/>
  <c r="T11" i="2"/>
  <c r="T12" i="2"/>
  <c r="T16" i="2"/>
  <c r="T17" i="2"/>
  <c r="S7" i="2"/>
  <c r="S8" i="2"/>
  <c r="S9" i="2"/>
  <c r="S10" i="2"/>
  <c r="S11" i="2"/>
  <c r="S12" i="2"/>
  <c r="S16" i="2"/>
  <c r="S17" i="2"/>
  <c r="W6" i="2"/>
  <c r="P6" i="2" s="1"/>
  <c r="P6" i="1" s="1"/>
  <c r="S6" i="2"/>
  <c r="L6" i="2" s="1"/>
  <c r="L6" i="1" s="1"/>
  <c r="T6" i="2"/>
  <c r="M6" i="2" s="1"/>
  <c r="M6" i="1" s="1"/>
  <c r="U6" i="2"/>
  <c r="N6" i="2" s="1"/>
  <c r="N6" i="1" s="1"/>
  <c r="V6" i="2"/>
  <c r="O6" i="2" s="1"/>
  <c r="O6" i="1" s="1"/>
  <c r="R7" i="2"/>
  <c r="R8" i="2"/>
  <c r="R9" i="2"/>
  <c r="R10" i="2"/>
  <c r="R11" i="2"/>
  <c r="R12" i="2"/>
  <c r="R16" i="2"/>
  <c r="R17" i="2"/>
  <c r="R6" i="2"/>
  <c r="Q7" i="2"/>
  <c r="Q8" i="2"/>
  <c r="Q9" i="2"/>
  <c r="Q10" i="2"/>
  <c r="Q11" i="2"/>
  <c r="Q12" i="2"/>
  <c r="Q16" i="2"/>
  <c r="Q17" i="2"/>
  <c r="Q6" i="2"/>
  <c r="K6" i="2" s="1"/>
  <c r="K6" i="1" s="1"/>
  <c r="Q7" i="1"/>
  <c r="S7" i="1"/>
  <c r="Q8" i="1"/>
  <c r="S8" i="1"/>
  <c r="Q9" i="1"/>
  <c r="S9" i="1"/>
  <c r="Q10" i="1"/>
  <c r="S10" i="1"/>
  <c r="Q11" i="1"/>
  <c r="S11" i="1"/>
  <c r="Q12" i="1"/>
  <c r="S12" i="1"/>
  <c r="Q15" i="1"/>
  <c r="S15" i="1"/>
  <c r="Q16" i="1"/>
  <c r="S16" i="1"/>
  <c r="Q17" i="1"/>
  <c r="S17" i="1"/>
  <c r="S6" i="1"/>
  <c r="Q6" i="1"/>
  <c r="J7" i="1"/>
  <c r="J8" i="1"/>
  <c r="J9" i="1"/>
  <c r="J10" i="1"/>
  <c r="J11" i="1"/>
  <c r="J12" i="1"/>
  <c r="J6" i="1"/>
  <c r="I7" i="1"/>
  <c r="I8" i="1"/>
  <c r="I9" i="1"/>
  <c r="I10" i="1"/>
  <c r="I11" i="1"/>
  <c r="I12" i="1"/>
  <c r="I15" i="1"/>
  <c r="I16" i="1"/>
  <c r="I17" i="1"/>
  <c r="H7" i="1"/>
  <c r="H8" i="1"/>
  <c r="H9" i="1"/>
  <c r="H10" i="1"/>
  <c r="H11" i="1"/>
  <c r="H12" i="1"/>
  <c r="E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F12" i="1"/>
  <c r="G12" i="1"/>
  <c r="F6" i="1"/>
  <c r="G6" i="1"/>
  <c r="K8" i="2" l="1"/>
  <c r="K8" i="1" s="1"/>
  <c r="M9" i="2"/>
  <c r="M9" i="1" s="1"/>
  <c r="K7" i="2"/>
  <c r="K7" i="1" s="1"/>
  <c r="L17" i="2"/>
  <c r="L17" i="1" s="1"/>
  <c r="M8" i="2"/>
  <c r="M8" i="1" s="1"/>
  <c r="O10" i="2"/>
  <c r="O10" i="1" s="1"/>
  <c r="M11" i="2"/>
  <c r="M11" i="1" s="1"/>
  <c r="K9" i="2"/>
  <c r="K9" i="1" s="1"/>
  <c r="M10" i="2"/>
  <c r="M10" i="1" s="1"/>
  <c r="O12" i="2"/>
  <c r="O12" i="1" s="1"/>
  <c r="O11" i="2"/>
  <c r="O11" i="1" s="1"/>
  <c r="L16" i="2"/>
  <c r="L16" i="1" s="1"/>
  <c r="M7" i="2"/>
  <c r="M7" i="1" s="1"/>
  <c r="O9" i="2"/>
  <c r="O9" i="1" s="1"/>
  <c r="O8" i="2"/>
  <c r="O8" i="1" s="1"/>
  <c r="N16" i="2"/>
  <c r="N16" i="1" s="1"/>
  <c r="L10" i="2"/>
  <c r="L10" i="1" s="1"/>
  <c r="P16" i="2"/>
  <c r="P16" i="1" s="1"/>
  <c r="N11" i="2"/>
  <c r="N11" i="1" s="1"/>
  <c r="N10" i="2"/>
  <c r="N10" i="1" s="1"/>
  <c r="L9" i="2"/>
  <c r="L9" i="1" s="1"/>
  <c r="L8" i="2"/>
  <c r="L8" i="1" s="1"/>
  <c r="P12" i="2"/>
  <c r="P12" i="1" s="1"/>
  <c r="K17" i="2"/>
  <c r="K17" i="1" s="1"/>
  <c r="P11" i="2"/>
  <c r="P11" i="1" s="1"/>
  <c r="N8" i="2"/>
  <c r="N8" i="1" s="1"/>
  <c r="M16" i="2"/>
  <c r="M16" i="1" s="1"/>
  <c r="N7" i="2"/>
  <c r="N7" i="1" s="1"/>
  <c r="P9" i="2"/>
  <c r="P9" i="1" s="1"/>
  <c r="L7" i="2"/>
  <c r="L7" i="1" s="1"/>
  <c r="M17" i="2"/>
  <c r="M17" i="1" s="1"/>
  <c r="K12" i="2"/>
  <c r="K12" i="1" s="1"/>
  <c r="O17" i="2"/>
  <c r="O17" i="1" s="1"/>
  <c r="P8" i="2"/>
  <c r="P8" i="1" s="1"/>
  <c r="N9" i="2"/>
  <c r="N9" i="1" s="1"/>
  <c r="K16" i="2"/>
  <c r="K16" i="1" s="1"/>
  <c r="P10" i="2"/>
  <c r="P10" i="1" s="1"/>
  <c r="K11" i="2"/>
  <c r="K11" i="1" s="1"/>
  <c r="M12" i="2"/>
  <c r="M12" i="1" s="1"/>
  <c r="O16" i="2"/>
  <c r="O16" i="1" s="1"/>
  <c r="P7" i="2"/>
  <c r="P7" i="1" s="1"/>
  <c r="N17" i="2"/>
  <c r="N17" i="1" s="1"/>
  <c r="L12" i="2"/>
  <c r="L12" i="1" s="1"/>
  <c r="O7" i="2"/>
  <c r="O7" i="1" s="1"/>
  <c r="L11" i="2"/>
  <c r="L11" i="1" s="1"/>
  <c r="P17" i="2"/>
  <c r="P17" i="1" s="1"/>
  <c r="N12" i="2"/>
  <c r="N12" i="1" s="1"/>
  <c r="K10" i="2"/>
  <c r="K10" i="1" s="1"/>
  <c r="I6" i="1"/>
  <c r="H6" i="1"/>
  <c r="E6" i="1"/>
  <c r="D6" i="1" l="1"/>
  <c r="D17" i="1"/>
  <c r="D11" i="1"/>
  <c r="D12" i="1"/>
  <c r="D16" i="1"/>
  <c r="D9" i="1"/>
  <c r="D10" i="1"/>
  <c r="D7" i="1"/>
  <c r="D15" i="1"/>
  <c r="D8" i="1"/>
  <c r="AB5" i="1" l="1"/>
  <c r="Z5" i="1"/>
  <c r="Y5" i="1"/>
  <c r="AA5" i="1"/>
  <c r="W5" i="1"/>
  <c r="X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<sst xmlns="http://schemas.openxmlformats.org/spreadsheetml/2006/main" count="805" uniqueCount="290">
  <si>
    <t>■ 기관별 현황 요약</t>
    <phoneticPr fontId="2" type="noConversion"/>
  </si>
  <si>
    <t xml:space="preserve">  * 전문별 테스트 완료 기준은 하단 설명 참조</t>
    <phoneticPr fontId="2" type="noConversion"/>
  </si>
  <si>
    <r>
      <t xml:space="preserve"> ** 진척률 </t>
    </r>
    <r>
      <rPr>
        <b/>
        <sz val="10"/>
        <color rgb="FFC00000"/>
        <rFont val="맑은 고딕"/>
        <family val="3"/>
        <charset val="129"/>
        <scheme val="minor"/>
      </rPr>
      <t>60% 미만</t>
    </r>
    <r>
      <rPr>
        <b/>
        <sz val="10"/>
        <color rgb="FF0000FF"/>
        <rFont val="맑은 고딕"/>
        <family val="3"/>
        <charset val="129"/>
        <scheme val="minor"/>
      </rPr>
      <t xml:space="preserve"> 기관</t>
    </r>
    <r>
      <rPr>
        <b/>
        <sz val="10"/>
        <color rgb="FFC00000"/>
        <rFont val="맑은 고딕"/>
        <family val="3"/>
        <charset val="129"/>
        <scheme val="minor"/>
      </rPr>
      <t xml:space="preserve"> 붉은색</t>
    </r>
    <r>
      <rPr>
        <b/>
        <sz val="10"/>
        <color rgb="FF0000FF"/>
        <rFont val="맑은 고딕"/>
        <family val="3"/>
        <charset val="129"/>
        <scheme val="minor"/>
      </rPr>
      <t xml:space="preserve"> 표기</t>
    </r>
    <phoneticPr fontId="2" type="noConversion"/>
  </si>
  <si>
    <t>기관명</t>
    <phoneticPr fontId="2" type="noConversion"/>
  </si>
  <si>
    <t>전체
진척률(%)</t>
    <phoneticPr fontId="2" type="noConversion"/>
  </si>
  <si>
    <t>조건1</t>
    <phoneticPr fontId="2" type="noConversion"/>
  </si>
  <si>
    <t>조건2</t>
    <phoneticPr fontId="2" type="noConversion"/>
  </si>
  <si>
    <t>조건3</t>
    <phoneticPr fontId="2" type="noConversion"/>
  </si>
  <si>
    <t>조건4</t>
    <phoneticPr fontId="2" type="noConversion"/>
  </si>
  <si>
    <t>□ 테스트 완료 기준</t>
    <phoneticPr fontId="2" type="noConversion"/>
  </si>
  <si>
    <t>(조건1)</t>
    <phoneticPr fontId="2" type="noConversion"/>
  </si>
  <si>
    <t>(조건2)</t>
    <phoneticPr fontId="2" type="noConversion"/>
  </si>
  <si>
    <t>(조건3)</t>
    <phoneticPr fontId="2" type="noConversion"/>
  </si>
  <si>
    <t>(조건4)</t>
    <phoneticPr fontId="2" type="noConversion"/>
  </si>
  <si>
    <t>정상 1건 이상</t>
    <phoneticPr fontId="2" type="noConversion"/>
  </si>
  <si>
    <t>S</t>
    <phoneticPr fontId="2" type="noConversion"/>
  </si>
  <si>
    <t>F</t>
    <phoneticPr fontId="2" type="noConversion"/>
  </si>
  <si>
    <t>■ 전체 현황 요약</t>
    <phoneticPr fontId="2" type="noConversion"/>
  </si>
  <si>
    <t>구분</t>
    <phoneticPr fontId="2" type="noConversion"/>
  </si>
  <si>
    <t>20%미만</t>
    <phoneticPr fontId="2" type="noConversion"/>
  </si>
  <si>
    <t>40%미만</t>
    <phoneticPr fontId="2" type="noConversion"/>
  </si>
  <si>
    <t>60%미만</t>
    <phoneticPr fontId="2" type="noConversion"/>
  </si>
  <si>
    <t>80%미만</t>
    <phoneticPr fontId="2" type="noConversion"/>
  </si>
  <si>
    <t>100%미만</t>
    <phoneticPr fontId="2" type="noConversion"/>
  </si>
  <si>
    <t>KB국민카드</t>
    <phoneticPr fontId="2" type="noConversion"/>
  </si>
  <si>
    <t>롯데카드</t>
    <phoneticPr fontId="2" type="noConversion"/>
  </si>
  <si>
    <t>삼성카드</t>
    <phoneticPr fontId="2" type="noConversion"/>
  </si>
  <si>
    <t>신한카드</t>
    <phoneticPr fontId="2" type="noConversion"/>
  </si>
  <si>
    <t>하나카드</t>
    <phoneticPr fontId="2" type="noConversion"/>
  </si>
  <si>
    <t>현대카드</t>
    <phoneticPr fontId="2" type="noConversion"/>
  </si>
  <si>
    <t>케이뱅크</t>
    <phoneticPr fontId="2" type="noConversion"/>
  </si>
  <si>
    <t>토스뱅크</t>
    <phoneticPr fontId="2" type="noConversion"/>
  </si>
  <si>
    <t xml:space="preserve"> ㅇ 980001 전문</t>
    <phoneticPr fontId="2" type="noConversion"/>
  </si>
  <si>
    <t xml:space="preserve">특정 요금을 지정한 자동납부 목록조회 </t>
    <phoneticPr fontId="2" type="noConversion"/>
  </si>
  <si>
    <t>자동납부 30건 초과시 페이징 처리</t>
    <phoneticPr fontId="2" type="noConversion"/>
  </si>
  <si>
    <t xml:space="preserve"> ㅇ 980002 전문</t>
    <phoneticPr fontId="2" type="noConversion"/>
  </si>
  <si>
    <t xml:space="preserve"> ㅇ 980003 전문</t>
    <phoneticPr fontId="2" type="noConversion"/>
  </si>
  <si>
    <t xml:space="preserve"> ㅇ 980004 전문</t>
    <phoneticPr fontId="2" type="noConversion"/>
  </si>
  <si>
    <t xml:space="preserve"> ㅇ 900N02 전문</t>
    <phoneticPr fontId="2" type="noConversion"/>
  </si>
  <si>
    <t>변경 성공 5건 이상</t>
    <phoneticPr fontId="2" type="noConversion"/>
  </si>
  <si>
    <t>변경전 실패(해지실패) 1건 이상</t>
    <phoneticPr fontId="2" type="noConversion"/>
  </si>
  <si>
    <t>재신규 성공(변경후 실패) 1건 이상</t>
    <phoneticPr fontId="2" type="noConversion"/>
  </si>
  <si>
    <t>재신규 실패(변경후 실패) 1건 이상</t>
    <phoneticPr fontId="2" type="noConversion"/>
  </si>
  <si>
    <t>(조건5)</t>
    <phoneticPr fontId="2" type="noConversion"/>
  </si>
  <si>
    <t>변경 후 무응답(변경전 해지성공) 최종 성공 1건 이상</t>
    <phoneticPr fontId="2" type="noConversion"/>
  </si>
  <si>
    <t>(조건6)</t>
    <phoneticPr fontId="2" type="noConversion"/>
  </si>
  <si>
    <t>변경 후 무응답(변경전 해지성공) 최종 실패 1건 이상</t>
    <phoneticPr fontId="2" type="noConversion"/>
  </si>
  <si>
    <t>조건5</t>
    <phoneticPr fontId="2" type="noConversion"/>
  </si>
  <si>
    <t>조건6</t>
    <phoneticPr fontId="2" type="noConversion"/>
  </si>
  <si>
    <t>성공
(5)</t>
    <phoneticPr fontId="2" type="noConversion"/>
  </si>
  <si>
    <t>B1</t>
    <phoneticPr fontId="2" type="noConversion"/>
  </si>
  <si>
    <t>자동납부
상세조회</t>
    <phoneticPr fontId="2" type="noConversion"/>
  </si>
  <si>
    <t>실패</t>
    <phoneticPr fontId="2" type="noConversion"/>
  </si>
  <si>
    <t>전북은행</t>
    <phoneticPr fontId="2" type="noConversion"/>
  </si>
  <si>
    <t>기관수(11)</t>
    <phoneticPr fontId="2" type="noConversion"/>
  </si>
  <si>
    <t>900N02</t>
    <phoneticPr fontId="2" type="noConversion"/>
  </si>
  <si>
    <t>자동납부 신규/해지(4대사회보험,스쿨뱅킹,한국전력,아파트관리비,임대료)</t>
    <phoneticPr fontId="2" type="noConversion"/>
  </si>
  <si>
    <t>AC4111</t>
    <phoneticPr fontId="2" type="noConversion"/>
  </si>
  <si>
    <t>신규/해지
요청결과(통신비)</t>
    <phoneticPr fontId="2" type="noConversion"/>
  </si>
  <si>
    <t xml:space="preserve"> ㅇ AC4111 배치</t>
    <phoneticPr fontId="2" type="noConversion"/>
  </si>
  <si>
    <t>4대보험</t>
    <phoneticPr fontId="2" type="noConversion"/>
  </si>
  <si>
    <t>스쿨뱅킹</t>
    <phoneticPr fontId="2" type="noConversion"/>
  </si>
  <si>
    <t>한국전력</t>
    <phoneticPr fontId="2" type="noConversion"/>
  </si>
  <si>
    <t>아파트
관리비</t>
    <phoneticPr fontId="2" type="noConversion"/>
  </si>
  <si>
    <t>임대료</t>
    <phoneticPr fontId="2" type="noConversion"/>
  </si>
  <si>
    <t>통신비</t>
    <phoneticPr fontId="2" type="noConversion"/>
  </si>
  <si>
    <t>매입사</t>
    <phoneticPr fontId="2" type="noConversion"/>
  </si>
  <si>
    <t>발급사</t>
    <phoneticPr fontId="2" type="noConversion"/>
  </si>
  <si>
    <t>비씨카드</t>
    <phoneticPr fontId="2" type="noConversion"/>
  </si>
  <si>
    <t>전업계</t>
    <phoneticPr fontId="2" type="noConversion"/>
  </si>
  <si>
    <t>겸영계</t>
    <phoneticPr fontId="2" type="noConversion"/>
  </si>
  <si>
    <t>092</t>
    <phoneticPr fontId="2" type="noConversion"/>
  </si>
  <si>
    <t>037</t>
    <phoneticPr fontId="2" type="noConversion"/>
  </si>
  <si>
    <t>089</t>
    <phoneticPr fontId="2" type="noConversion"/>
  </si>
  <si>
    <t>011</t>
    <phoneticPr fontId="2" type="noConversion"/>
  </si>
  <si>
    <t>변경전
실패
(1)</t>
    <phoneticPr fontId="2" type="noConversion"/>
  </si>
  <si>
    <t>카드사</t>
  </si>
  <si>
    <t>테스트 케이스</t>
  </si>
  <si>
    <t>확인 일시</t>
  </si>
  <si>
    <t>거래고유번호</t>
  </si>
  <si>
    <t>통과여부</t>
  </si>
  <si>
    <t>성공</t>
  </si>
  <si>
    <t>실패</t>
  </si>
  <si>
    <t>국민</t>
    <phoneticPr fontId="2" type="noConversion"/>
  </si>
  <si>
    <t>농협카드</t>
    <phoneticPr fontId="2" type="noConversion"/>
  </si>
  <si>
    <t xml:space="preserve"> </t>
    <phoneticPr fontId="2" type="noConversion"/>
  </si>
  <si>
    <t>T1</t>
    <phoneticPr fontId="2" type="noConversion"/>
  </si>
  <si>
    <t>T2</t>
    <phoneticPr fontId="2" type="noConversion"/>
  </si>
  <si>
    <t>통신요금 변경전 해지실패 1건 이상</t>
    <phoneticPr fontId="2" type="noConversion"/>
  </si>
  <si>
    <t>통신요금 변경후 신규실패 1건 이상</t>
    <phoneticPr fontId="2" type="noConversion"/>
  </si>
  <si>
    <t>재신규
(900N02)</t>
    <phoneticPr fontId="2" type="noConversion"/>
  </si>
  <si>
    <t>국민</t>
  </si>
  <si>
    <t>롯데</t>
    <phoneticPr fontId="2" type="noConversion"/>
  </si>
  <si>
    <t>삼성</t>
    <phoneticPr fontId="2" type="noConversion"/>
  </si>
  <si>
    <t>현대</t>
    <phoneticPr fontId="2" type="noConversion"/>
  </si>
  <si>
    <t>비씨</t>
    <phoneticPr fontId="2" type="noConversion"/>
  </si>
  <si>
    <t>하나</t>
    <phoneticPr fontId="2" type="noConversion"/>
  </si>
  <si>
    <t>신한</t>
    <phoneticPr fontId="2" type="noConversion"/>
  </si>
  <si>
    <t>농협</t>
    <phoneticPr fontId="2" type="noConversion"/>
  </si>
  <si>
    <t>전북</t>
    <phoneticPr fontId="2" type="noConversion"/>
  </si>
  <si>
    <t>전문구분</t>
    <phoneticPr fontId="2" type="noConversion"/>
  </si>
  <si>
    <t>요금별 조회 (요금구분코드 SET)</t>
    <phoneticPr fontId="2" type="noConversion"/>
  </si>
  <si>
    <t>해지
(900N02)
(AC3/4111)</t>
    <phoneticPr fontId="2" type="noConversion"/>
  </si>
  <si>
    <t>신규
(900N02)
(AC3/4111)</t>
    <phoneticPr fontId="2" type="noConversion"/>
  </si>
  <si>
    <t>전체 조회 성공</t>
    <phoneticPr fontId="2" type="noConversion"/>
  </si>
  <si>
    <t>페이징 처리 (목록 &gt; 1)</t>
    <phoneticPr fontId="2" type="noConversion"/>
  </si>
  <si>
    <t>상세 조회 성공</t>
    <phoneticPr fontId="2" type="noConversion"/>
  </si>
  <si>
    <t>변경 접수 성공</t>
    <phoneticPr fontId="2" type="noConversion"/>
  </si>
  <si>
    <t>A1</t>
  </si>
  <si>
    <t>A2</t>
  </si>
  <si>
    <t>무-성
(1)</t>
  </si>
  <si>
    <t>무-실
(1)</t>
  </si>
  <si>
    <t>RN1</t>
  </si>
  <si>
    <t>RN2</t>
  </si>
  <si>
    <t>재신규 성공
(1)</t>
  </si>
  <si>
    <t>재신규실패
(1)</t>
  </si>
  <si>
    <t>정상 1건 이상 (케이스별)</t>
    <phoneticPr fontId="2" type="noConversion"/>
  </si>
  <si>
    <t>변경 결과 조회 (변경 성공)
(재신규여부:N, 결과코드:0000)</t>
    <phoneticPr fontId="2" type="noConversion"/>
  </si>
  <si>
    <t>변경 결과 조회 (해지 실패)
(재신규여부:N, 결과코드:1920)</t>
    <phoneticPr fontId="2" type="noConversion"/>
  </si>
  <si>
    <t>변경 결과 조회 (해지/신규무응답)
(재신규여부:N, 결과코드:1924)</t>
    <phoneticPr fontId="2" type="noConversion"/>
  </si>
  <si>
    <t>변경 결과 조회 (해지/신규실패/재신규성공)
(재신규여부:Y, 결과코드:0000)</t>
    <phoneticPr fontId="2" type="noConversion"/>
  </si>
  <si>
    <t>변경 결과 조회 (해지/신규실패/재신규실패)
(재신규여부:Y, 결과코드:1920)</t>
    <phoneticPr fontId="2" type="noConversion"/>
  </si>
  <si>
    <t>무응답</t>
    <phoneticPr fontId="2" type="noConversion"/>
  </si>
  <si>
    <t>자동납부 
변경요청</t>
    <phoneticPr fontId="2" type="noConversion"/>
  </si>
  <si>
    <t>자동납부
목록조회</t>
    <phoneticPr fontId="2" type="noConversion"/>
  </si>
  <si>
    <t>자동납부 
변경결과</t>
    <phoneticPr fontId="2" type="noConversion"/>
  </si>
  <si>
    <t>T3</t>
    <phoneticPr fontId="2" type="noConversion"/>
  </si>
  <si>
    <t>전북은행카드</t>
    <phoneticPr fontId="2" type="noConversion"/>
  </si>
  <si>
    <t>토스뱅크
(하나)</t>
    <phoneticPr fontId="2" type="noConversion"/>
  </si>
  <si>
    <t>전북은행
(국민)</t>
    <phoneticPr fontId="2" type="noConversion"/>
  </si>
  <si>
    <t>케이뱅크
(BC)</t>
    <phoneticPr fontId="2" type="noConversion"/>
  </si>
  <si>
    <t>전-해지실패
(1)</t>
    <phoneticPr fontId="2" type="noConversion"/>
  </si>
  <si>
    <t>후-신규
실패
(1)</t>
    <phoneticPr fontId="2" type="noConversion"/>
  </si>
  <si>
    <t>381000323951</t>
  </si>
  <si>
    <t>2.2 13:02:43</t>
    <phoneticPr fontId="2" type="noConversion"/>
  </si>
  <si>
    <t>381000323957</t>
  </si>
  <si>
    <t>2.2 13:18:33</t>
    <phoneticPr fontId="2" type="noConversion"/>
  </si>
  <si>
    <t>381000323961</t>
  </si>
  <si>
    <t>2.2 13:20:39</t>
    <phoneticPr fontId="2" type="noConversion"/>
  </si>
  <si>
    <t>381000323751</t>
  </si>
  <si>
    <t>1.30 17:05:30</t>
    <phoneticPr fontId="2" type="noConversion"/>
  </si>
  <si>
    <t>381000323793</t>
  </si>
  <si>
    <t>2.2 09:40:01</t>
    <phoneticPr fontId="2" type="noConversion"/>
  </si>
  <si>
    <t>1.30 09:48:26</t>
    <phoneticPr fontId="2" type="noConversion"/>
  </si>
  <si>
    <t>365026607361</t>
  </si>
  <si>
    <t>1.30 09:48:27</t>
    <phoneticPr fontId="2" type="noConversion"/>
  </si>
  <si>
    <t>365026992273</t>
  </si>
  <si>
    <t>1.28 14:51:09</t>
    <phoneticPr fontId="2" type="noConversion"/>
  </si>
  <si>
    <t>365008748640</t>
  </si>
  <si>
    <t>365055613173</t>
  </si>
  <si>
    <t>1.28 14:17:55</t>
    <phoneticPr fontId="2" type="noConversion"/>
  </si>
  <si>
    <t>2.2 10:22:11</t>
    <phoneticPr fontId="2" type="noConversion"/>
  </si>
  <si>
    <t>368000000001</t>
  </si>
  <si>
    <t>1.29 16:04:18</t>
    <phoneticPr fontId="2" type="noConversion"/>
  </si>
  <si>
    <t>3680L0000024</t>
  </si>
  <si>
    <t>1.30 13:56:51</t>
    <phoneticPr fontId="2" type="noConversion"/>
  </si>
  <si>
    <t>368000000002</t>
  </si>
  <si>
    <t>368000000060</t>
  </si>
  <si>
    <t>1.29 19:37:59</t>
    <phoneticPr fontId="2" type="noConversion"/>
  </si>
  <si>
    <t>2.2 09:51:45</t>
    <phoneticPr fontId="2" type="noConversion"/>
  </si>
  <si>
    <t>3670A0000001</t>
  </si>
  <si>
    <t>2.2 09:51:46</t>
    <phoneticPr fontId="2" type="noConversion"/>
  </si>
  <si>
    <t>3670A0000002</t>
    <phoneticPr fontId="2" type="noConversion"/>
  </si>
  <si>
    <t>1.22 13:34:17</t>
    <phoneticPr fontId="2" type="noConversion"/>
  </si>
  <si>
    <t>367000000064</t>
  </si>
  <si>
    <t>3670B0000001</t>
  </si>
  <si>
    <t>2.2 09:55:08</t>
    <phoneticPr fontId="2" type="noConversion"/>
  </si>
  <si>
    <t>3670C0000002</t>
  </si>
  <si>
    <t>2.2 10:30:54</t>
    <phoneticPr fontId="2" type="noConversion"/>
  </si>
  <si>
    <t>1.30 14:17:00</t>
    <phoneticPr fontId="2" type="noConversion"/>
  </si>
  <si>
    <t>361000000309</t>
  </si>
  <si>
    <t>361000000203</t>
  </si>
  <si>
    <t>1.27 10:01:47</t>
    <phoneticPr fontId="2" type="noConversion"/>
  </si>
  <si>
    <t>1.30 14:18:32</t>
    <phoneticPr fontId="2" type="noConversion"/>
  </si>
  <si>
    <t>361000000310</t>
  </si>
  <si>
    <t>361000000254</t>
  </si>
  <si>
    <t>1.27 13:25:30</t>
    <phoneticPr fontId="2" type="noConversion"/>
  </si>
  <si>
    <t>2.2 09:59:42</t>
    <phoneticPr fontId="2" type="noConversion"/>
  </si>
  <si>
    <t>374070129363</t>
  </si>
  <si>
    <t>374070129365</t>
  </si>
  <si>
    <t>1.27 18:43:08</t>
    <phoneticPr fontId="2" type="noConversion"/>
  </si>
  <si>
    <t>374090000269</t>
  </si>
  <si>
    <t>374060129311</t>
  </si>
  <si>
    <t>2.2 09:54:54</t>
    <phoneticPr fontId="2" type="noConversion"/>
  </si>
  <si>
    <t>374080129391</t>
  </si>
  <si>
    <t>2.2 10:00:32</t>
    <phoneticPr fontId="2" type="noConversion"/>
  </si>
  <si>
    <t>1.30 10:21:42</t>
    <phoneticPr fontId="2" type="noConversion"/>
  </si>
  <si>
    <t>366010214290</t>
  </si>
  <si>
    <t>366015230196</t>
  </si>
  <si>
    <t>1.29 15:23:02</t>
    <phoneticPr fontId="2" type="noConversion"/>
  </si>
  <si>
    <t>366015232277</t>
  </si>
  <si>
    <t>1.29 15:23:22</t>
    <phoneticPr fontId="2" type="noConversion"/>
  </si>
  <si>
    <t>011002003577</t>
    <phoneticPr fontId="2" type="noConversion"/>
  </si>
  <si>
    <t>2.2 09:16:01</t>
    <phoneticPr fontId="2" type="noConversion"/>
  </si>
  <si>
    <t>011029002935</t>
  </si>
  <si>
    <t>1.29 18:42:34</t>
    <phoneticPr fontId="2" type="noConversion"/>
  </si>
  <si>
    <t>374090000271</t>
  </si>
  <si>
    <t>1.27 18:44:46</t>
    <phoneticPr fontId="2" type="noConversion"/>
  </si>
  <si>
    <t>1.28 15:35:10</t>
    <phoneticPr fontId="2" type="noConversion"/>
  </si>
  <si>
    <t>365010214057</t>
  </si>
  <si>
    <t>365030726748</t>
  </si>
  <si>
    <t>1.28 16:40:30</t>
    <phoneticPr fontId="2" type="noConversion"/>
  </si>
  <si>
    <t>368000000072</t>
  </si>
  <si>
    <t>1.29 21:11:14</t>
    <phoneticPr fontId="2" type="noConversion"/>
  </si>
  <si>
    <t>1.26 15:05:09</t>
    <phoneticPr fontId="2" type="noConversion"/>
  </si>
  <si>
    <t>367000000002</t>
  </si>
  <si>
    <t>367000000001</t>
  </si>
  <si>
    <t>1.27 14:03:30</t>
    <phoneticPr fontId="2" type="noConversion"/>
  </si>
  <si>
    <t>1.28 14:12:23</t>
    <phoneticPr fontId="2" type="noConversion"/>
  </si>
  <si>
    <t>367000000008</t>
  </si>
  <si>
    <t>1.30 13:57:57</t>
    <phoneticPr fontId="2" type="noConversion"/>
  </si>
  <si>
    <t>1.27 11:09:03</t>
    <phoneticPr fontId="2" type="noConversion"/>
  </si>
  <si>
    <t>361000000150</t>
  </si>
  <si>
    <t>1.27 13:27:47</t>
    <phoneticPr fontId="2" type="noConversion"/>
  </si>
  <si>
    <t>2.2 14:00:12</t>
    <phoneticPr fontId="2" type="noConversion"/>
  </si>
  <si>
    <t>374050129598</t>
  </si>
  <si>
    <t>374080129393</t>
  </si>
  <si>
    <t>1.28 21:36:43</t>
    <phoneticPr fontId="2" type="noConversion"/>
  </si>
  <si>
    <t>374011012742</t>
  </si>
  <si>
    <t>1.30 14:28:31</t>
    <phoneticPr fontId="2" type="noConversion"/>
  </si>
  <si>
    <t>374040129043</t>
  </si>
  <si>
    <t>1.30 17:45:50</t>
    <phoneticPr fontId="2" type="noConversion"/>
  </si>
  <si>
    <t>374080129189</t>
  </si>
  <si>
    <t>366015274917</t>
  </si>
  <si>
    <t>1.29 15:27:49</t>
    <phoneticPr fontId="2" type="noConversion"/>
  </si>
  <si>
    <t>1.27 17:10:39</t>
    <phoneticPr fontId="2" type="noConversion"/>
  </si>
  <si>
    <t>366017103904</t>
  </si>
  <si>
    <t>3670D0000002</t>
    <phoneticPr fontId="2" type="noConversion"/>
  </si>
  <si>
    <t>361000000213</t>
    <phoneticPr fontId="2" type="noConversion"/>
  </si>
  <si>
    <t>O</t>
    <phoneticPr fontId="2" type="noConversion"/>
  </si>
  <si>
    <t>(참고용) 기관별 요금별 참여현황</t>
    <phoneticPr fontId="2" type="noConversion"/>
  </si>
  <si>
    <t>361000000344</t>
  </si>
  <si>
    <t>2.3 11:11:20</t>
    <phoneticPr fontId="2" type="noConversion"/>
  </si>
  <si>
    <t>011002003966</t>
  </si>
  <si>
    <t>011002003959</t>
  </si>
  <si>
    <t>2.2 18:43:56:</t>
    <phoneticPr fontId="2" type="noConversion"/>
  </si>
  <si>
    <t>2.2 19:38:51</t>
    <phoneticPr fontId="2" type="noConversion"/>
  </si>
  <si>
    <t>368000000023</t>
  </si>
  <si>
    <t>2.4 18:54:52</t>
    <phoneticPr fontId="2" type="noConversion"/>
  </si>
  <si>
    <t>366014281499</t>
  </si>
  <si>
    <t>2.5 14:28:15</t>
    <phoneticPr fontId="2" type="noConversion"/>
  </si>
  <si>
    <t>2.5 16::56:14</t>
    <phoneticPr fontId="2" type="noConversion"/>
  </si>
  <si>
    <t>011005005110</t>
  </si>
  <si>
    <t>011005005121</t>
  </si>
  <si>
    <t>2.5 17:01:58</t>
    <phoneticPr fontId="2" type="noConversion"/>
  </si>
  <si>
    <t>2.6 15:14:13</t>
    <phoneticPr fontId="2" type="noConversion"/>
  </si>
  <si>
    <t>381000328622</t>
  </si>
  <si>
    <t>381000328812</t>
  </si>
  <si>
    <t>2.6 15:46:52</t>
    <phoneticPr fontId="2" type="noConversion"/>
  </si>
  <si>
    <t>381000328920</t>
  </si>
  <si>
    <t>2.6 16:45:01</t>
    <phoneticPr fontId="2" type="noConversion"/>
  </si>
  <si>
    <t>365033963440</t>
  </si>
  <si>
    <t>2.6 17:31:34</t>
    <phoneticPr fontId="2" type="noConversion"/>
  </si>
  <si>
    <t>365009269414</t>
  </si>
  <si>
    <t>2.9 10:58:09</t>
    <phoneticPr fontId="2" type="noConversion"/>
  </si>
  <si>
    <t>368000000030</t>
  </si>
  <si>
    <t>2.6 21:18:48</t>
    <phoneticPr fontId="2" type="noConversion"/>
  </si>
  <si>
    <t>361000000558</t>
  </si>
  <si>
    <t>2.9 11:11:42</t>
    <phoneticPr fontId="2" type="noConversion"/>
  </si>
  <si>
    <t>011006005302</t>
  </si>
  <si>
    <t>2.6 13:41:52</t>
    <phoneticPr fontId="2" type="noConversion"/>
  </si>
  <si>
    <t>011006005322</t>
  </si>
  <si>
    <t>2.6 13:43:01</t>
    <phoneticPr fontId="2" type="noConversion"/>
  </si>
  <si>
    <t>변경 결과 조회 (해지/(재)신규무응답)
(재신규여부:N, 결과코드:1924)</t>
    <phoneticPr fontId="2" type="noConversion"/>
  </si>
  <si>
    <t>361000000553</t>
  </si>
  <si>
    <t>2.9 10:52:40</t>
    <phoneticPr fontId="2" type="noConversion"/>
  </si>
  <si>
    <t>381000095672</t>
  </si>
  <si>
    <t>2.12 15:17:40</t>
    <phoneticPr fontId="2" type="noConversion"/>
  </si>
  <si>
    <t>381000331383</t>
  </si>
  <si>
    <t>2.11 16:44:07</t>
    <phoneticPr fontId="2" type="noConversion"/>
  </si>
  <si>
    <t>381000331993</t>
  </si>
  <si>
    <t>2.12 15:54:12</t>
    <phoneticPr fontId="2" type="noConversion"/>
  </si>
  <si>
    <t>368000000142</t>
  </si>
  <si>
    <t>2.10 19:58:45</t>
    <phoneticPr fontId="2" type="noConversion"/>
  </si>
  <si>
    <t>368000000149</t>
  </si>
  <si>
    <t>2.10 20:09:58</t>
    <phoneticPr fontId="2" type="noConversion"/>
  </si>
  <si>
    <t>2.13 13:18:28</t>
    <phoneticPr fontId="2" type="noConversion"/>
  </si>
  <si>
    <t>368000000002</t>
    <phoneticPr fontId="2" type="noConversion"/>
  </si>
  <si>
    <t>3670D0000006</t>
  </si>
  <si>
    <t>2.20 09:29:56</t>
    <phoneticPr fontId="2" type="noConversion"/>
  </si>
  <si>
    <t>2.20 15:37:07</t>
    <phoneticPr fontId="2" type="noConversion"/>
  </si>
  <si>
    <t>365007334571</t>
    <phoneticPr fontId="2" type="noConversion"/>
  </si>
  <si>
    <t>2.24 16:54:26</t>
    <phoneticPr fontId="2" type="noConversion"/>
  </si>
  <si>
    <t>366016542680</t>
  </si>
  <si>
    <t>366010323668</t>
  </si>
  <si>
    <t>2.26 10:32:37</t>
    <phoneticPr fontId="2" type="noConversion"/>
  </si>
  <si>
    <t>366011265431</t>
  </si>
  <si>
    <t>2.26 11:26:54</t>
    <phoneticPr fontId="2" type="noConversion"/>
  </si>
  <si>
    <t>011026010744</t>
  </si>
  <si>
    <t>2.26 09:22:57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</si>
</sst>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horizontal="left" vertical="top" indent="1"/>
    </xf>
  </cellStyleXfs>
  <cellXfs count="17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9" fontId="6" fillId="2" borderId="11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15" xfId="0" applyBorder="1">
      <alignment vertical="center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9" fontId="6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20" xfId="0" applyBorder="1">
      <alignment vertical="center"/>
    </xf>
    <xf numFmtId="176" fontId="6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76" fontId="6" fillId="8" borderId="5" xfId="0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vertical="center" wrapText="1"/>
    </xf>
    <xf numFmtId="0" fontId="16" fillId="2" borderId="2" xfId="1" applyFont="1" applyFill="1" applyBorder="1" applyAlignment="1">
      <alignment horizontal="center" vertical="center" wrapText="1"/>
    </xf>
    <xf numFmtId="0" fontId="16" fillId="9" borderId="2" xfId="1" applyFont="1" applyFill="1" applyBorder="1" applyAlignment="1">
      <alignment horizontal="center" vertical="center" wrapText="1"/>
    </xf>
    <xf numFmtId="0" fontId="16" fillId="9" borderId="3" xfId="1" applyFont="1" applyFill="1" applyBorder="1" applyAlignment="1">
      <alignment vertical="center"/>
    </xf>
    <xf numFmtId="0" fontId="16" fillId="9" borderId="2" xfId="1" applyFont="1" applyFill="1" applyBorder="1" applyAlignment="1">
      <alignment vertical="center"/>
    </xf>
    <xf numFmtId="0" fontId="16" fillId="10" borderId="2" xfId="1" applyFont="1" applyFill="1" applyBorder="1" applyAlignment="1">
      <alignment horizontal="center" vertical="center" wrapText="1"/>
    </xf>
    <xf numFmtId="0" fontId="14" fillId="0" borderId="0" xfId="1">
      <alignment horizontal="left" vertical="top" indent="1"/>
    </xf>
    <xf numFmtId="0" fontId="7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49" fontId="13" fillId="8" borderId="28" xfId="0" applyNumberFormat="1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/>
    </xf>
    <xf numFmtId="49" fontId="12" fillId="0" borderId="5" xfId="0" applyNumberFormat="1" applyFont="1" applyFill="1" applyBorder="1" applyAlignment="1">
      <alignment horizontal="center" vertical="center"/>
    </xf>
    <xf numFmtId="49" fontId="12" fillId="0" borderId="29" xfId="0" applyNumberFormat="1" applyFont="1" applyFill="1" applyBorder="1" applyAlignment="1">
      <alignment horizontal="center" vertical="center"/>
    </xf>
    <xf numFmtId="49" fontId="12" fillId="0" borderId="21" xfId="0" applyNumberFormat="1" applyFont="1" applyFill="1" applyBorder="1" applyAlignment="1">
      <alignment horizontal="center" vertical="center"/>
    </xf>
    <xf numFmtId="49" fontId="12" fillId="0" borderId="30" xfId="0" applyNumberFormat="1" applyFont="1" applyFill="1" applyBorder="1" applyAlignment="1">
      <alignment horizontal="center" vertical="center"/>
    </xf>
    <xf numFmtId="49" fontId="12" fillId="0" borderId="19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6" fillId="11" borderId="3" xfId="1" applyFont="1" applyFill="1" applyBorder="1" applyAlignment="1">
      <alignment vertical="center"/>
    </xf>
    <xf numFmtId="0" fontId="16" fillId="11" borderId="2" xfId="1" applyFont="1" applyFill="1" applyBorder="1" applyAlignment="1">
      <alignment vertical="center"/>
    </xf>
    <xf numFmtId="0" fontId="16" fillId="12" borderId="2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6" fillId="9" borderId="37" xfId="1" applyFont="1" applyFill="1" applyBorder="1" applyAlignment="1">
      <alignment horizontal="center" vertical="center" wrapText="1"/>
    </xf>
    <xf numFmtId="49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6" fillId="11" borderId="35" xfId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left" vertical="center" wrapText="1"/>
    </xf>
    <xf numFmtId="0" fontId="16" fillId="9" borderId="1" xfId="1" applyFont="1" applyFill="1" applyBorder="1" applyAlignment="1">
      <alignment horizontal="left" vertical="center" wrapText="1"/>
    </xf>
    <xf numFmtId="176" fontId="6" fillId="0" borderId="36" xfId="0" applyNumberFormat="1" applyFont="1" applyBorder="1" applyAlignment="1">
      <alignment horizontal="center" vertical="center"/>
    </xf>
    <xf numFmtId="176" fontId="6" fillId="0" borderId="38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>
      <alignment horizontal="center" vertical="center"/>
    </xf>
    <xf numFmtId="176" fontId="6" fillId="0" borderId="40" xfId="0" applyNumberFormat="1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6" fontId="6" fillId="0" borderId="34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8" borderId="45" xfId="0" applyNumberFormat="1" applyFont="1" applyFill="1" applyBorder="1" applyAlignment="1">
      <alignment horizontal="center" vertical="center"/>
    </xf>
    <xf numFmtId="176" fontId="6" fillId="8" borderId="2" xfId="0" applyNumberFormat="1" applyFont="1" applyFill="1" applyBorder="1" applyAlignment="1">
      <alignment horizontal="center" vertical="center"/>
    </xf>
    <xf numFmtId="176" fontId="6" fillId="8" borderId="46" xfId="0" applyNumberFormat="1" applyFont="1" applyFill="1" applyBorder="1" applyAlignment="1">
      <alignment horizontal="center" vertical="center"/>
    </xf>
    <xf numFmtId="176" fontId="6" fillId="8" borderId="17" xfId="0" applyNumberFormat="1" applyFont="1" applyFill="1" applyBorder="1" applyAlignment="1">
      <alignment horizontal="center" vertical="center"/>
    </xf>
    <xf numFmtId="49" fontId="11" fillId="8" borderId="30" xfId="0" applyNumberFormat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6" fillId="11" borderId="2" xfId="1" applyFont="1" applyFill="1" applyBorder="1" applyAlignment="1">
      <alignment horizontal="center" vertical="center"/>
    </xf>
    <xf numFmtId="0" fontId="16" fillId="9" borderId="2" xfId="1" applyFont="1" applyFill="1" applyBorder="1" applyAlignment="1">
      <alignment horizontal="center" vertical="center"/>
    </xf>
    <xf numFmtId="176" fontId="6" fillId="0" borderId="47" xfId="0" applyNumberFormat="1" applyFont="1" applyBorder="1" applyAlignment="1">
      <alignment horizontal="center" vertical="center"/>
    </xf>
    <xf numFmtId="176" fontId="6" fillId="0" borderId="48" xfId="0" applyNumberFormat="1" applyFont="1" applyBorder="1" applyAlignment="1">
      <alignment horizontal="center" vertical="center"/>
    </xf>
    <xf numFmtId="176" fontId="6" fillId="0" borderId="49" xfId="0" applyNumberFormat="1" applyFont="1" applyBorder="1" applyAlignment="1">
      <alignment horizontal="center" vertical="center"/>
    </xf>
    <xf numFmtId="176" fontId="6" fillId="0" borderId="50" xfId="0" applyNumberFormat="1" applyFont="1" applyBorder="1" applyAlignment="1">
      <alignment horizontal="center" vertical="center"/>
    </xf>
    <xf numFmtId="176" fontId="6" fillId="0" borderId="51" xfId="0" applyNumberFormat="1" applyFont="1" applyBorder="1" applyAlignment="1">
      <alignment horizontal="center" vertical="center"/>
    </xf>
    <xf numFmtId="176" fontId="6" fillId="0" borderId="52" xfId="0" applyNumberFormat="1" applyFont="1" applyBorder="1" applyAlignment="1">
      <alignment horizontal="center" vertical="center"/>
    </xf>
    <xf numFmtId="176" fontId="6" fillId="0" borderId="53" xfId="0" applyNumberFormat="1" applyFont="1" applyBorder="1" applyAlignment="1">
      <alignment horizontal="center" vertical="center"/>
    </xf>
    <xf numFmtId="176" fontId="6" fillId="0" borderId="54" xfId="0" applyNumberFormat="1" applyFont="1" applyBorder="1" applyAlignment="1">
      <alignment horizontal="center" vertical="center"/>
    </xf>
    <xf numFmtId="176" fontId="6" fillId="8" borderId="55" xfId="0" applyNumberFormat="1" applyFont="1" applyFill="1" applyBorder="1" applyAlignment="1">
      <alignment horizontal="center" vertical="center"/>
    </xf>
    <xf numFmtId="176" fontId="6" fillId="8" borderId="54" xfId="0" applyNumberFormat="1" applyFont="1" applyFill="1" applyBorder="1" applyAlignment="1">
      <alignment horizontal="center" vertical="center"/>
    </xf>
    <xf numFmtId="176" fontId="6" fillId="8" borderId="56" xfId="0" applyNumberFormat="1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16" fillId="0" borderId="0" xfId="1" applyNumberFormat="1" applyFont="1" applyAlignment="1">
      <alignment horizontal="center" vertical="center"/>
    </xf>
    <xf numFmtId="49" fontId="16" fillId="11" borderId="3" xfId="1" applyNumberFormat="1" applyFont="1" applyFill="1" applyBorder="1" applyAlignment="1">
      <alignment horizontal="center" vertical="center"/>
    </xf>
    <xf numFmtId="49" fontId="16" fillId="11" borderId="2" xfId="1" applyNumberFormat="1" applyFont="1" applyFill="1" applyBorder="1" applyAlignment="1">
      <alignment horizontal="center" vertical="center"/>
    </xf>
    <xf numFmtId="49" fontId="16" fillId="9" borderId="3" xfId="1" applyNumberFormat="1" applyFont="1" applyFill="1" applyBorder="1" applyAlignment="1">
      <alignment horizontal="center" vertical="center"/>
    </xf>
    <xf numFmtId="49" fontId="16" fillId="9" borderId="2" xfId="1" applyNumberFormat="1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176" fontId="6" fillId="0" borderId="17" xfId="0" applyNumberFormat="1" applyFont="1" applyBorder="1" applyAlignment="1">
      <alignment horizontal="center" vertical="center"/>
    </xf>
    <xf numFmtId="176" fontId="6" fillId="0" borderId="57" xfId="0" applyNumberFormat="1" applyFont="1" applyBorder="1" applyAlignment="1">
      <alignment horizontal="center" vertical="center"/>
    </xf>
    <xf numFmtId="176" fontId="6" fillId="0" borderId="59" xfId="0" applyNumberFormat="1" applyFont="1" applyBorder="1" applyAlignment="1">
      <alignment horizontal="center" vertical="center"/>
    </xf>
    <xf numFmtId="0" fontId="0" fillId="0" borderId="60" xfId="0" applyBorder="1">
      <alignment vertical="center"/>
    </xf>
    <xf numFmtId="49" fontId="16" fillId="11" borderId="35" xfId="1" applyNumberFormat="1" applyFont="1" applyFill="1" applyBorder="1" applyAlignment="1">
      <alignment horizontal="center" vertical="center"/>
    </xf>
    <xf numFmtId="0" fontId="16" fillId="11" borderId="35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49" fontId="15" fillId="2" borderId="11" xfId="1" applyNumberFormat="1" applyFont="1" applyFill="1" applyBorder="1" applyAlignment="1">
      <alignment horizontal="center" vertical="center"/>
    </xf>
    <xf numFmtId="49" fontId="15" fillId="2" borderId="22" xfId="1" applyNumberFormat="1" applyFont="1" applyFill="1" applyBorder="1" applyAlignment="1">
      <alignment horizontal="center" vertical="center"/>
    </xf>
    <xf numFmtId="49" fontId="15" fillId="2" borderId="5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E3838879-152D-48BD-AD4E-C563319E736D}"/>
  </cellStyles>
  <dxfs count="48"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9B0000"/>
      </font>
      <fill>
        <patternFill>
          <bgColor rgb="FFFFC8C8"/>
        </patternFill>
      </fill>
    </dxf>
    <dxf>
      <font>
        <color rgb="FF006400"/>
      </font>
      <fill>
        <patternFill>
          <bgColor rgb="FFC8F0C8"/>
        </patternFill>
      </fill>
    </dxf>
    <dxf>
      <font>
        <color rgb="FF006400"/>
      </font>
      <fill>
        <patternFill>
          <bgColor rgb="FFC8F0C8"/>
        </patternFill>
      </fill>
    </dxf>
    <dxf>
      <font>
        <b/>
        <i val="0"/>
        <color theme="0"/>
      </font>
      <fill>
        <patternFill>
          <bgColor rgb="FF203764"/>
        </patternFill>
      </fill>
    </dxf>
    <dxf>
      <font>
        <b/>
        <i val="0"/>
      </font>
      <fill>
        <patternFill>
          <bgColor rgb="FF8EA9DB"/>
        </patternFill>
      </fill>
    </dxf>
    <dxf>
      <font>
        <b/>
        <i val="0"/>
        <color auto="1"/>
      </font>
      <fill>
        <patternFill>
          <bgColor rgb="FFD9E1F2"/>
        </patternFill>
      </fill>
    </dxf>
    <dxf>
      <font>
        <b/>
        <i val="0"/>
        <color auto="1"/>
      </font>
      <fill>
        <patternFill>
          <bgColor rgb="FFFFAFAF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400"/>
      </font>
      <fill>
        <patternFill>
          <bgColor rgb="FFC8F0C8"/>
        </patternFill>
      </fill>
    </dxf>
    <dxf>
      <font>
        <b/>
        <i val="0"/>
        <color theme="0"/>
      </font>
      <fill>
        <patternFill>
          <bgColor rgb="FF203764"/>
        </patternFill>
      </fill>
    </dxf>
    <dxf>
      <font>
        <b/>
        <i val="0"/>
      </font>
      <fill>
        <patternFill>
          <bgColor rgb="FF8EA9DB"/>
        </patternFill>
      </fill>
    </dxf>
    <dxf>
      <font>
        <b/>
        <i val="0"/>
        <color auto="1"/>
      </font>
      <fill>
        <patternFill>
          <bgColor rgb="FFD9E1F2"/>
        </patternFill>
      </fill>
    </dxf>
    <dxf>
      <font>
        <b/>
        <i val="0"/>
        <color auto="1"/>
      </font>
      <fill>
        <patternFill>
          <bgColor rgb="FFFFAFAF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rgb="FF0000FF"/>
      </font>
      <fill>
        <patternFill>
          <bgColor theme="8" tint="0.39994506668294322"/>
        </patternFill>
      </fill>
    </dxf>
    <dxf>
      <font>
        <b/>
        <i val="0"/>
        <color rgb="FF0000FF"/>
      </font>
      <fill>
        <patternFill>
          <bgColor theme="8" tint="0.79998168889431442"/>
        </patternFill>
      </fill>
    </dxf>
    <dxf>
      <font>
        <b/>
        <i val="0"/>
        <color rgb="FFC00000"/>
      </font>
      <fill>
        <patternFill>
          <bgColor rgb="FFFFAFAF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654C-FC3D-4255-A6FF-27D3BE96AA44}">
  <dimension ref="A1:AH46"/>
  <sheetViews>
    <sheetView zoomScaleNormal="100" workbookViewId="0">
      <selection activeCell="I8" sqref="I8"/>
    </sheetView>
  </sheetViews>
  <sheetFormatPr defaultRowHeight="16.5" x14ac:dyDescent="0.3"/>
  <cols>
    <col min="3" max="3" width="15" bestFit="1" customWidth="1"/>
    <col min="4" max="4" width="9" customWidth="1"/>
    <col min="5" max="7" width="5.625" bestFit="1" customWidth="1"/>
    <col min="8" max="10" width="7.5" bestFit="1" customWidth="1"/>
    <col min="11" max="17" width="5.625" bestFit="1" customWidth="1"/>
    <col min="18" max="18" width="5.625" customWidth="1"/>
    <col min="19" max="19" width="5.625" bestFit="1" customWidth="1"/>
  </cols>
  <sheetData>
    <row r="1" spans="1:28" ht="17.25" x14ac:dyDescent="0.3">
      <c r="A1" s="1" t="s">
        <v>0</v>
      </c>
      <c r="B1" s="1"/>
    </row>
    <row r="2" spans="1:28" x14ac:dyDescent="0.3">
      <c r="A2" s="2" t="s">
        <v>1</v>
      </c>
      <c r="B2" s="2"/>
      <c r="V2" s="8" t="s">
        <v>17</v>
      </c>
    </row>
    <row r="3" spans="1:28" x14ac:dyDescent="0.3">
      <c r="A3" s="2" t="s">
        <v>2</v>
      </c>
      <c r="B3" s="2"/>
      <c r="V3" s="8"/>
    </row>
    <row r="4" spans="1:28" ht="17.25" customHeight="1" thickBot="1" x14ac:dyDescent="0.35">
      <c r="E4" s="124">
        <v>980001</v>
      </c>
      <c r="F4" s="125"/>
      <c r="G4" s="125"/>
      <c r="H4" s="66">
        <v>980002</v>
      </c>
      <c r="I4" s="66">
        <v>980003</v>
      </c>
      <c r="J4" s="66">
        <v>980004</v>
      </c>
      <c r="K4" s="124" t="s">
        <v>55</v>
      </c>
      <c r="L4" s="125"/>
      <c r="M4" s="125"/>
      <c r="N4" s="125"/>
      <c r="O4" s="125"/>
      <c r="P4" s="126"/>
      <c r="Q4" s="124" t="s">
        <v>57</v>
      </c>
      <c r="R4" s="125"/>
      <c r="S4" s="126"/>
      <c r="V4" s="14" t="s">
        <v>18</v>
      </c>
      <c r="W4" s="14" t="s">
        <v>19</v>
      </c>
      <c r="X4" s="14" t="s">
        <v>20</v>
      </c>
      <c r="Y4" s="14" t="s">
        <v>21</v>
      </c>
      <c r="Z4" s="14" t="s">
        <v>22</v>
      </c>
      <c r="AA4" s="14" t="s">
        <v>23</v>
      </c>
      <c r="AB4" s="15">
        <v>1</v>
      </c>
    </row>
    <row r="5" spans="1:28" ht="27" x14ac:dyDescent="0.3">
      <c r="A5" s="3" t="s">
        <v>66</v>
      </c>
      <c r="B5" s="3" t="s">
        <v>67</v>
      </c>
      <c r="C5" s="3" t="s">
        <v>3</v>
      </c>
      <c r="D5" s="51" t="s">
        <v>4</v>
      </c>
      <c r="E5" s="5" t="s">
        <v>5</v>
      </c>
      <c r="F5" s="5" t="s">
        <v>6</v>
      </c>
      <c r="G5" s="5" t="s">
        <v>7</v>
      </c>
      <c r="H5" s="5" t="s">
        <v>5</v>
      </c>
      <c r="I5" s="5" t="s">
        <v>5</v>
      </c>
      <c r="J5" s="5" t="s">
        <v>5</v>
      </c>
      <c r="K5" s="25" t="s">
        <v>5</v>
      </c>
      <c r="L5" s="5" t="s">
        <v>6</v>
      </c>
      <c r="M5" s="5" t="s">
        <v>7</v>
      </c>
      <c r="N5" s="5" t="s">
        <v>8</v>
      </c>
      <c r="O5" s="5" t="s">
        <v>47</v>
      </c>
      <c r="P5" s="5" t="s">
        <v>48</v>
      </c>
      <c r="Q5" s="5" t="s">
        <v>5</v>
      </c>
      <c r="R5" s="5" t="s">
        <v>6</v>
      </c>
      <c r="S5" s="5" t="s">
        <v>7</v>
      </c>
      <c r="V5" s="13" t="s">
        <v>54</v>
      </c>
      <c r="W5" s="12">
        <f ca="1">COUNTIFS(D6:D17, "&gt;=0",D6:D17, "&lt;20")</f>
        <v>3</v>
      </c>
      <c r="X5" s="12">
        <f ca="1">COUNTIFS(D6:D17, "&gt;=20",D6:D17, "&lt;40")</f>
        <v>5</v>
      </c>
      <c r="Y5" s="12">
        <f ca="1">COUNTIFS(D6:D17, "&gt;=40",D6:D17, "&lt;60")</f>
        <v>4</v>
      </c>
      <c r="Z5" s="12">
        <f ca="1">COUNTIFS(D6:D17, "&gt;=60",D6:D17, "&lt;80")</f>
        <v>0</v>
      </c>
      <c r="AA5" s="12">
        <f ca="1">COUNTIFS(D6:D17, "&gt;=80",D6:D17, "&lt;100")</f>
        <v>0</v>
      </c>
      <c r="AB5" s="12">
        <f ca="1">COUNTIFS(D6:D17, "&gt;=100")</f>
        <v>0</v>
      </c>
    </row>
    <row r="6" spans="1:28" x14ac:dyDescent="0.3">
      <c r="A6" s="33">
        <v>381</v>
      </c>
      <c r="B6" s="34">
        <v>381</v>
      </c>
      <c r="C6" s="47" t="s">
        <v>24</v>
      </c>
      <c r="D6" s="52">
        <f t="shared" ref="D6:D17" ca="1" si="0">ROUND(COUNTIF(E6:S6,"O")/(COUNTIF(E6:S6,"O")+COUNTIF(E6:S6,"X"))*100,0)</f>
        <v>40</v>
      </c>
      <c r="E6" s="7" t="str">
        <f ca="1">'카드이동서비스채널확대_테스트현황(상세)'!E6</f>
        <v>O</v>
      </c>
      <c r="F6" s="7" t="str">
        <f ca="1">'카드이동서비스채널확대_테스트현황(상세)'!F6</f>
        <v>O</v>
      </c>
      <c r="G6" s="7" t="str">
        <f ca="1">'카드이동서비스채널확대_테스트현황(상세)'!G6</f>
        <v>O</v>
      </c>
      <c r="H6" s="7" t="str">
        <f ca="1">'카드이동서비스채널확대_테스트현황(상세)'!H6</f>
        <v>O</v>
      </c>
      <c r="I6" s="7" t="str">
        <f ca="1">'카드이동서비스채널확대_테스트현황(상세)'!I6</f>
        <v>O</v>
      </c>
      <c r="J6" s="7" t="str">
        <f ca="1">'카드이동서비스채널확대_테스트현황(상세)'!J6</f>
        <v>O</v>
      </c>
      <c r="K6" s="7" t="str">
        <f>'카드이동서비스채널확대_테스트현황(상세)'!K6</f>
        <v>X</v>
      </c>
      <c r="L6" s="7" t="str">
        <f>'카드이동서비스채널확대_테스트현황(상세)'!L6</f>
        <v>X</v>
      </c>
      <c r="M6" s="7" t="str">
        <f>'카드이동서비스채널확대_테스트현황(상세)'!M6</f>
        <v>X</v>
      </c>
      <c r="N6" s="7" t="str">
        <f>'카드이동서비스채널확대_테스트현황(상세)'!N6</f>
        <v>X</v>
      </c>
      <c r="O6" s="7" t="str">
        <f>'카드이동서비스채널확대_테스트현황(상세)'!O6</f>
        <v>X</v>
      </c>
      <c r="P6" s="7" t="str">
        <f>'카드이동서비스채널확대_테스트현황(상세)'!P6</f>
        <v>X</v>
      </c>
      <c r="Q6" s="7" t="str">
        <f>'카드이동서비스채널확대_테스트현황(상세)'!X6</f>
        <v>X</v>
      </c>
      <c r="R6" s="7" t="str">
        <f>'카드이동서비스채널확대_테스트현황(상세)'!Y6</f>
        <v>X</v>
      </c>
      <c r="S6" s="7" t="str">
        <f>'카드이동서비스채널확대_테스트현황(상세)'!Z6</f>
        <v>X</v>
      </c>
    </row>
    <row r="7" spans="1:28" x14ac:dyDescent="0.3">
      <c r="A7" s="33">
        <v>365</v>
      </c>
      <c r="B7" s="34">
        <v>365</v>
      </c>
      <c r="C7" s="47" t="s">
        <v>26</v>
      </c>
      <c r="D7" s="52">
        <f t="shared" ca="1" si="0"/>
        <v>36</v>
      </c>
      <c r="E7" s="7" t="str">
        <f ca="1">'카드이동서비스채널확대_테스트현황(상세)'!E7</f>
        <v>O</v>
      </c>
      <c r="F7" s="111"/>
      <c r="G7" s="7" t="str">
        <f ca="1">'카드이동서비스채널확대_테스트현황(상세)'!G7</f>
        <v>O</v>
      </c>
      <c r="H7" s="7" t="str">
        <f ca="1">'카드이동서비스채널확대_테스트현황(상세)'!H7</f>
        <v>O</v>
      </c>
      <c r="I7" s="7" t="str">
        <f ca="1">'카드이동서비스채널확대_테스트현황(상세)'!I7</f>
        <v>O</v>
      </c>
      <c r="J7" s="7" t="str">
        <f ca="1">'카드이동서비스채널확대_테스트현황(상세)'!J7</f>
        <v>O</v>
      </c>
      <c r="K7" s="7" t="str">
        <f>'카드이동서비스채널확대_테스트현황(상세)'!K7</f>
        <v>X</v>
      </c>
      <c r="L7" s="7" t="str">
        <f>'카드이동서비스채널확대_테스트현황(상세)'!L7</f>
        <v>X</v>
      </c>
      <c r="M7" s="7" t="str">
        <f>'카드이동서비스채널확대_테스트현황(상세)'!M7</f>
        <v>X</v>
      </c>
      <c r="N7" s="7" t="str">
        <f>'카드이동서비스채널확대_테스트현황(상세)'!N7</f>
        <v>X</v>
      </c>
      <c r="O7" s="7" t="str">
        <f>'카드이동서비스채널확대_테스트현황(상세)'!O7</f>
        <v>X</v>
      </c>
      <c r="P7" s="7" t="str">
        <f>'카드이동서비스채널확대_테스트현황(상세)'!P7</f>
        <v>X</v>
      </c>
      <c r="Q7" s="7" t="str">
        <f>'카드이동서비스채널확대_테스트현황(상세)'!X7</f>
        <v>X</v>
      </c>
      <c r="R7" s="7" t="str">
        <f>'카드이동서비스채널확대_테스트현황(상세)'!Y7</f>
        <v>X</v>
      </c>
      <c r="S7" s="7" t="str">
        <f>'카드이동서비스채널확대_테스트현황(상세)'!Z7</f>
        <v>X</v>
      </c>
    </row>
    <row r="8" spans="1:28" x14ac:dyDescent="0.3">
      <c r="A8" s="33">
        <v>368</v>
      </c>
      <c r="B8" s="34">
        <v>368</v>
      </c>
      <c r="C8" s="48" t="s">
        <v>25</v>
      </c>
      <c r="D8" s="52">
        <f t="shared" ca="1" si="0"/>
        <v>40</v>
      </c>
      <c r="E8" s="7" t="str">
        <f ca="1">'카드이동서비스채널확대_테스트현황(상세)'!E8</f>
        <v>O</v>
      </c>
      <c r="F8" s="7" t="str">
        <f ca="1">'카드이동서비스채널확대_테스트현황(상세)'!F8</f>
        <v>O</v>
      </c>
      <c r="G8" s="7" t="str">
        <f ca="1">'카드이동서비스채널확대_테스트현황(상세)'!G8</f>
        <v>O</v>
      </c>
      <c r="H8" s="7" t="str">
        <f ca="1">'카드이동서비스채널확대_테스트현황(상세)'!H8</f>
        <v>O</v>
      </c>
      <c r="I8" s="7" t="str">
        <f ca="1">'카드이동서비스채널확대_테스트현황(상세)'!I8</f>
        <v>O</v>
      </c>
      <c r="J8" s="7" t="str">
        <f ca="1">'카드이동서비스채널확대_테스트현황(상세)'!J8</f>
        <v>O</v>
      </c>
      <c r="K8" s="7" t="str">
        <f>'카드이동서비스채널확대_테스트현황(상세)'!K8</f>
        <v>X</v>
      </c>
      <c r="L8" s="7" t="str">
        <f>'카드이동서비스채널확대_테스트현황(상세)'!L8</f>
        <v>X</v>
      </c>
      <c r="M8" s="7" t="str">
        <f>'카드이동서비스채널확대_테스트현황(상세)'!M8</f>
        <v>X</v>
      </c>
      <c r="N8" s="7" t="str">
        <f>'카드이동서비스채널확대_테스트현황(상세)'!N8</f>
        <v>X</v>
      </c>
      <c r="O8" s="7" t="str">
        <f>'카드이동서비스채널확대_테스트현황(상세)'!O8</f>
        <v>X</v>
      </c>
      <c r="P8" s="7" t="str">
        <f>'카드이동서비스채널확대_테스트현황(상세)'!P8</f>
        <v>X</v>
      </c>
      <c r="Q8" s="7" t="str">
        <f>'카드이동서비스채널확대_테스트현황(상세)'!X8</f>
        <v>X</v>
      </c>
      <c r="R8" s="7" t="str">
        <f>'카드이동서비스채널확대_테스트현황(상세)'!Y8</f>
        <v>X</v>
      </c>
      <c r="S8" s="7" t="str">
        <f>'카드이동서비스채널확대_테스트현황(상세)'!Z8</f>
        <v>X</v>
      </c>
    </row>
    <row r="9" spans="1:28" x14ac:dyDescent="0.3">
      <c r="A9" s="33">
        <v>367</v>
      </c>
      <c r="B9" s="34">
        <v>367</v>
      </c>
      <c r="C9" s="49" t="s">
        <v>29</v>
      </c>
      <c r="D9" s="52">
        <f t="shared" ca="1" si="0"/>
        <v>40</v>
      </c>
      <c r="E9" s="7" t="str">
        <f ca="1">'카드이동서비스채널확대_테스트현황(상세)'!E9</f>
        <v>O</v>
      </c>
      <c r="F9" s="7" t="str">
        <f ca="1">'카드이동서비스채널확대_테스트현황(상세)'!F9</f>
        <v>O</v>
      </c>
      <c r="G9" s="7" t="str">
        <f ca="1">'카드이동서비스채널확대_테스트현황(상세)'!G9</f>
        <v>O</v>
      </c>
      <c r="H9" s="7" t="str">
        <f ca="1">'카드이동서비스채널확대_테스트현황(상세)'!H9</f>
        <v>O</v>
      </c>
      <c r="I9" s="7" t="str">
        <f ca="1">'카드이동서비스채널확대_테스트현황(상세)'!I9</f>
        <v>O</v>
      </c>
      <c r="J9" s="7" t="str">
        <f ca="1">'카드이동서비스채널확대_테스트현황(상세)'!J9</f>
        <v>O</v>
      </c>
      <c r="K9" s="7" t="str">
        <f>'카드이동서비스채널확대_테스트현황(상세)'!K9</f>
        <v>X</v>
      </c>
      <c r="L9" s="7" t="str">
        <f>'카드이동서비스채널확대_테스트현황(상세)'!L9</f>
        <v>X</v>
      </c>
      <c r="M9" s="7" t="str">
        <f>'카드이동서비스채널확대_테스트현황(상세)'!M9</f>
        <v>X</v>
      </c>
      <c r="N9" s="7" t="str">
        <f>'카드이동서비스채널확대_테스트현황(상세)'!N9</f>
        <v>X</v>
      </c>
      <c r="O9" s="7" t="str">
        <f>'카드이동서비스채널확대_테스트현황(상세)'!O9</f>
        <v>X</v>
      </c>
      <c r="P9" s="7" t="str">
        <f>'카드이동서비스채널확대_테스트현황(상세)'!P9</f>
        <v>X</v>
      </c>
      <c r="Q9" s="7" t="str">
        <f>'카드이동서비스채널확대_테스트현황(상세)'!X9</f>
        <v>X</v>
      </c>
      <c r="R9" s="7" t="str">
        <f>'카드이동서비스채널확대_테스트현황(상세)'!Y9</f>
        <v>X</v>
      </c>
      <c r="S9" s="7" t="str">
        <f>'카드이동서비스채널확대_테스트현황(상세)'!Z9</f>
        <v>X</v>
      </c>
    </row>
    <row r="10" spans="1:28" x14ac:dyDescent="0.3">
      <c r="A10" s="12">
        <v>361</v>
      </c>
      <c r="B10" s="35">
        <v>361</v>
      </c>
      <c r="C10" s="49" t="s">
        <v>68</v>
      </c>
      <c r="D10" s="52">
        <f t="shared" ca="1" si="0"/>
        <v>33</v>
      </c>
      <c r="E10" s="7" t="str">
        <f ca="1">'카드이동서비스채널확대_테스트현황(상세)'!E10</f>
        <v>O</v>
      </c>
      <c r="F10" s="7" t="str">
        <f ca="1">'카드이동서비스채널확대_테스트현황(상세)'!F10</f>
        <v>O</v>
      </c>
      <c r="G10" s="7" t="str">
        <f ca="1">'카드이동서비스채널확대_테스트현황(상세)'!G10</f>
        <v>O</v>
      </c>
      <c r="H10" s="7" t="str">
        <f ca="1">'카드이동서비스채널확대_테스트현황(상세)'!H10</f>
        <v>O</v>
      </c>
      <c r="I10" s="7" t="str">
        <f ca="1">'카드이동서비스채널확대_테스트현황(상세)'!I10</f>
        <v>O</v>
      </c>
      <c r="J10" s="7" t="str">
        <f ca="1">'카드이동서비스채널확대_테스트현황(상세)'!J10</f>
        <v>X</v>
      </c>
      <c r="K10" s="7" t="str">
        <f>'카드이동서비스채널확대_테스트현황(상세)'!K10</f>
        <v>X</v>
      </c>
      <c r="L10" s="7" t="str">
        <f>'카드이동서비스채널확대_테스트현황(상세)'!L10</f>
        <v>X</v>
      </c>
      <c r="M10" s="7" t="str">
        <f>'카드이동서비스채널확대_테스트현황(상세)'!M10</f>
        <v>X</v>
      </c>
      <c r="N10" s="7" t="str">
        <f>'카드이동서비스채널확대_테스트현황(상세)'!N10</f>
        <v>X</v>
      </c>
      <c r="O10" s="7" t="str">
        <f>'카드이동서비스채널확대_테스트현황(상세)'!O10</f>
        <v>X</v>
      </c>
      <c r="P10" s="7" t="str">
        <f>'카드이동서비스채널확대_테스트현황(상세)'!P10</f>
        <v>X</v>
      </c>
      <c r="Q10" s="7" t="str">
        <f>'카드이동서비스채널확대_테스트현황(상세)'!X10</f>
        <v>X</v>
      </c>
      <c r="R10" s="7" t="str">
        <f>'카드이동서비스채널확대_테스트현황(상세)'!Y10</f>
        <v>X</v>
      </c>
      <c r="S10" s="7" t="str">
        <f>'카드이동서비스채널확대_테스트현황(상세)'!Z10</f>
        <v>X</v>
      </c>
    </row>
    <row r="11" spans="1:28" x14ac:dyDescent="0.3">
      <c r="A11" s="12">
        <v>374</v>
      </c>
      <c r="B11" s="35">
        <v>374</v>
      </c>
      <c r="C11" s="50" t="s">
        <v>28</v>
      </c>
      <c r="D11" s="52">
        <f t="shared" ca="1" si="0"/>
        <v>40</v>
      </c>
      <c r="E11" s="7" t="str">
        <f ca="1">'카드이동서비스채널확대_테스트현황(상세)'!E11</f>
        <v>O</v>
      </c>
      <c r="F11" s="7" t="str">
        <f ca="1">'카드이동서비스채널확대_테스트현황(상세)'!F11</f>
        <v>O</v>
      </c>
      <c r="G11" s="7" t="str">
        <f ca="1">'카드이동서비스채널확대_테스트현황(상세)'!G11</f>
        <v>O</v>
      </c>
      <c r="H11" s="7" t="str">
        <f ca="1">'카드이동서비스채널확대_테스트현황(상세)'!H11</f>
        <v>O</v>
      </c>
      <c r="I11" s="7" t="str">
        <f ca="1">'카드이동서비스채널확대_테스트현황(상세)'!I11</f>
        <v>O</v>
      </c>
      <c r="J11" s="7" t="str">
        <f ca="1">'카드이동서비스채널확대_테스트현황(상세)'!J11</f>
        <v>O</v>
      </c>
      <c r="K11" s="7" t="str">
        <f>'카드이동서비스채널확대_테스트현황(상세)'!K11</f>
        <v>X</v>
      </c>
      <c r="L11" s="7" t="str">
        <f>'카드이동서비스채널확대_테스트현황(상세)'!L11</f>
        <v>X</v>
      </c>
      <c r="M11" s="7" t="str">
        <f>'카드이동서비스채널확대_테스트현황(상세)'!M11</f>
        <v>X</v>
      </c>
      <c r="N11" s="7" t="str">
        <f>'카드이동서비스채널확대_테스트현황(상세)'!N11</f>
        <v>X</v>
      </c>
      <c r="O11" s="7" t="str">
        <f>'카드이동서비스채널확대_테스트현황(상세)'!O11</f>
        <v>X</v>
      </c>
      <c r="P11" s="7" t="str">
        <f>'카드이동서비스채널확대_테스트현황(상세)'!P11</f>
        <v>X</v>
      </c>
      <c r="Q11" s="7" t="str">
        <f>'카드이동서비스채널확대_테스트현황(상세)'!X11</f>
        <v>X</v>
      </c>
      <c r="R11" s="7" t="str">
        <f>'카드이동서비스채널확대_테스트현황(상세)'!Y11</f>
        <v>X</v>
      </c>
      <c r="S11" s="7" t="str">
        <f>'카드이동서비스채널확대_테스트현황(상세)'!Z11</f>
        <v>X</v>
      </c>
    </row>
    <row r="12" spans="1:28" x14ac:dyDescent="0.3">
      <c r="A12" s="12">
        <v>366</v>
      </c>
      <c r="B12" s="35">
        <v>366</v>
      </c>
      <c r="C12" s="49" t="s">
        <v>27</v>
      </c>
      <c r="D12" s="52">
        <f t="shared" ca="1" si="0"/>
        <v>36</v>
      </c>
      <c r="E12" s="109"/>
      <c r="F12" s="7" t="str">
        <f ca="1">'카드이동서비스채널확대_테스트현황(상세)'!F12</f>
        <v>O</v>
      </c>
      <c r="G12" s="7" t="str">
        <f ca="1">'카드이동서비스채널확대_테스트현황(상세)'!G12</f>
        <v>O</v>
      </c>
      <c r="H12" s="7" t="str">
        <f ca="1">'카드이동서비스채널확대_테스트현황(상세)'!H12</f>
        <v>O</v>
      </c>
      <c r="I12" s="7" t="str">
        <f ca="1">'카드이동서비스채널확대_테스트현황(상세)'!I12</f>
        <v>O</v>
      </c>
      <c r="J12" s="7" t="str">
        <f ca="1">'카드이동서비스채널확대_테스트현황(상세)'!J12</f>
        <v>O</v>
      </c>
      <c r="K12" s="7" t="str">
        <f>'카드이동서비스채널확대_테스트현황(상세)'!K12</f>
        <v>X</v>
      </c>
      <c r="L12" s="7" t="str">
        <f>'카드이동서비스채널확대_테스트현황(상세)'!L12</f>
        <v>X</v>
      </c>
      <c r="M12" s="7" t="str">
        <f>'카드이동서비스채널확대_테스트현황(상세)'!M12</f>
        <v>X</v>
      </c>
      <c r="N12" s="7" t="str">
        <f>'카드이동서비스채널확대_테스트현황(상세)'!N12</f>
        <v>X</v>
      </c>
      <c r="O12" s="7" t="str">
        <f>'카드이동서비스채널확대_테스트현황(상세)'!O12</f>
        <v>X</v>
      </c>
      <c r="P12" s="7" t="str">
        <f>'카드이동서비스채널확대_테스트현황(상세)'!P12</f>
        <v>X</v>
      </c>
      <c r="Q12" s="7" t="str">
        <f>'카드이동서비스채널확대_테스트현황(상세)'!X12</f>
        <v>X</v>
      </c>
      <c r="R12" s="7" t="str">
        <f>'카드이동서비스채널확대_테스트현황(상세)'!Y12</f>
        <v>X</v>
      </c>
      <c r="S12" s="7" t="str">
        <f>'카드이동서비스채널확대_테스트현황(상세)'!Z12</f>
        <v>X</v>
      </c>
    </row>
    <row r="13" spans="1:28" x14ac:dyDescent="0.3">
      <c r="A13" s="35" t="s">
        <v>74</v>
      </c>
      <c r="B13" s="35" t="s">
        <v>74</v>
      </c>
      <c r="C13" s="49" t="s">
        <v>84</v>
      </c>
      <c r="D13" s="52">
        <f t="shared" ca="1" si="0"/>
        <v>33</v>
      </c>
      <c r="E13" s="7" t="str">
        <f ca="1">'카드이동서비스채널확대_테스트현황(상세)'!E13</f>
        <v>O</v>
      </c>
      <c r="F13" s="7" t="str">
        <f ca="1">'카드이동서비스채널확대_테스트현황(상세)'!F13</f>
        <v>O</v>
      </c>
      <c r="G13" s="7" t="str">
        <f ca="1">'카드이동서비스채널확대_테스트현황(상세)'!G13</f>
        <v>O</v>
      </c>
      <c r="H13" s="7" t="str">
        <f ca="1">'카드이동서비스채널확대_테스트현황(상세)'!H13</f>
        <v>O</v>
      </c>
      <c r="I13" s="7" t="str">
        <f ca="1">'카드이동서비스채널확대_테스트현황(상세)'!I13</f>
        <v>O</v>
      </c>
      <c r="J13" s="7" t="str">
        <f ca="1">'카드이동서비스채널확대_테스트현황(상세)'!J13</f>
        <v>X</v>
      </c>
      <c r="K13" s="7" t="str">
        <f>'카드이동서비스채널확대_테스트현황(상세)'!K13</f>
        <v>X</v>
      </c>
      <c r="L13" s="7" t="str">
        <f>'카드이동서비스채널확대_테스트현황(상세)'!L13</f>
        <v>X</v>
      </c>
      <c r="M13" s="7" t="str">
        <f>'카드이동서비스채널확대_테스트현황(상세)'!M13</f>
        <v>X</v>
      </c>
      <c r="N13" s="7" t="str">
        <f>'카드이동서비스채널확대_테스트현황(상세)'!N13</f>
        <v>X</v>
      </c>
      <c r="O13" s="7" t="str">
        <f>'카드이동서비스채널확대_테스트현황(상세)'!O13</f>
        <v>X</v>
      </c>
      <c r="P13" s="7" t="str">
        <f>'카드이동서비스채널확대_테스트현황(상세)'!P13</f>
        <v>X</v>
      </c>
      <c r="Q13" s="7" t="str">
        <f>'카드이동서비스채널확대_테스트현황(상세)'!X13</f>
        <v>X</v>
      </c>
      <c r="R13" s="7" t="str">
        <f>'카드이동서비스채널확대_테스트현황(상세)'!Y13</f>
        <v>X</v>
      </c>
      <c r="S13" s="7" t="str">
        <f>'카드이동서비스채널확대_테스트현황(상세)'!Z13</f>
        <v>X</v>
      </c>
    </row>
    <row r="14" spans="1:28" x14ac:dyDescent="0.3">
      <c r="A14" s="35" t="s">
        <v>72</v>
      </c>
      <c r="B14" s="35" t="s">
        <v>72</v>
      </c>
      <c r="C14" s="49" t="s">
        <v>127</v>
      </c>
      <c r="D14" s="52">
        <f t="shared" ref="D14" ca="1" si="1">ROUND(COUNTIF(E14:S14,"O")/(COUNTIF(E14:S14,"O")+COUNTIF(E14:S14,"X"))*100,0)</f>
        <v>0</v>
      </c>
      <c r="E14" s="7" t="str">
        <f ca="1">'카드이동서비스채널확대_테스트현황(상세)'!E14</f>
        <v>X</v>
      </c>
      <c r="F14" s="7" t="str">
        <f ca="1">'카드이동서비스채널확대_테스트현황(상세)'!F14</f>
        <v>X</v>
      </c>
      <c r="G14" s="7" t="str">
        <f ca="1">'카드이동서비스채널확대_테스트현황(상세)'!G14</f>
        <v>X</v>
      </c>
      <c r="H14" s="7" t="str">
        <f ca="1">'카드이동서비스채널확대_테스트현황(상세)'!H14</f>
        <v>X</v>
      </c>
      <c r="I14" s="7" t="str">
        <f ca="1">'카드이동서비스채널확대_테스트현황(상세)'!I14</f>
        <v>X</v>
      </c>
      <c r="J14" s="7" t="str">
        <f ca="1">'카드이동서비스채널확대_테스트현황(상세)'!J14</f>
        <v>X</v>
      </c>
      <c r="K14" s="7" t="str">
        <f>'카드이동서비스채널확대_테스트현황(상세)'!K14</f>
        <v>X</v>
      </c>
      <c r="L14" s="7" t="str">
        <f>'카드이동서비스채널확대_테스트현황(상세)'!L14</f>
        <v>X</v>
      </c>
      <c r="M14" s="7" t="str">
        <f>'카드이동서비스채널확대_테스트현황(상세)'!M14</f>
        <v>X</v>
      </c>
      <c r="N14" s="7" t="str">
        <f>'카드이동서비스채널확대_테스트현황(상세)'!N14</f>
        <v>X</v>
      </c>
      <c r="O14" s="7" t="str">
        <f>'카드이동서비스채널확대_테스트현황(상세)'!O14</f>
        <v>X</v>
      </c>
      <c r="P14" s="7" t="str">
        <f>'카드이동서비스채널확대_테스트현황(상세)'!P14</f>
        <v>X</v>
      </c>
      <c r="Q14" s="7" t="str">
        <f>'카드이동서비스채널확대_테스트현황(상세)'!X14</f>
        <v>X</v>
      </c>
      <c r="R14" s="7" t="str">
        <f>'카드이동서비스채널확대_테스트현황(상세)'!Y14</f>
        <v>X</v>
      </c>
      <c r="S14" s="7" t="str">
        <f>'카드이동서비스채널확대_테스트현황(상세)'!Z14</f>
        <v>X</v>
      </c>
    </row>
    <row r="15" spans="1:28" x14ac:dyDescent="0.3">
      <c r="A15" s="12">
        <v>374</v>
      </c>
      <c r="B15" s="35" t="s">
        <v>71</v>
      </c>
      <c r="C15" s="49" t="s">
        <v>31</v>
      </c>
      <c r="D15" s="52">
        <f t="shared" ca="1" si="0"/>
        <v>25</v>
      </c>
      <c r="E15" s="109"/>
      <c r="F15" s="110"/>
      <c r="G15" s="110"/>
      <c r="H15" s="110"/>
      <c r="I15" s="7" t="str">
        <f ca="1">'카드이동서비스채널확대_테스트현황(상세)'!I15</f>
        <v>O</v>
      </c>
      <c r="J15" s="111"/>
      <c r="K15" s="111"/>
      <c r="L15" s="110"/>
      <c r="M15" s="110"/>
      <c r="N15" s="110"/>
      <c r="O15" s="110"/>
      <c r="P15" s="110"/>
      <c r="Q15" s="7" t="str">
        <f>'카드이동서비스채널확대_테스트현황(상세)'!X15</f>
        <v>X</v>
      </c>
      <c r="R15" s="7" t="str">
        <f>'카드이동서비스채널확대_테스트현황(상세)'!Y14</f>
        <v>X</v>
      </c>
      <c r="S15" s="7" t="str">
        <f>'카드이동서비스채널확대_테스트현황(상세)'!Z15</f>
        <v>X</v>
      </c>
    </row>
    <row r="16" spans="1:28" x14ac:dyDescent="0.3">
      <c r="A16" s="12">
        <v>381</v>
      </c>
      <c r="B16" s="35" t="s">
        <v>72</v>
      </c>
      <c r="C16" s="48" t="s">
        <v>53</v>
      </c>
      <c r="D16" s="52">
        <f t="shared" ca="1" si="0"/>
        <v>10</v>
      </c>
      <c r="E16" s="109"/>
      <c r="F16" s="110"/>
      <c r="G16" s="110"/>
      <c r="H16" s="110"/>
      <c r="I16" s="7" t="str">
        <f ca="1">'카드이동서비스채널확대_테스트현황(상세)'!I16</f>
        <v>O</v>
      </c>
      <c r="J16" s="111"/>
      <c r="K16" s="7" t="str">
        <f>'카드이동서비스채널확대_테스트현황(상세)'!K16</f>
        <v>X</v>
      </c>
      <c r="L16" s="7" t="str">
        <f>'카드이동서비스채널확대_테스트현황(상세)'!L16</f>
        <v>X</v>
      </c>
      <c r="M16" s="7" t="str">
        <f>'카드이동서비스채널확대_테스트현황(상세)'!M16</f>
        <v>X</v>
      </c>
      <c r="N16" s="7" t="str">
        <f>'카드이동서비스채널확대_테스트현황(상세)'!N16</f>
        <v>X</v>
      </c>
      <c r="O16" s="7" t="str">
        <f>'카드이동서비스채널확대_테스트현황(상세)'!O16</f>
        <v>X</v>
      </c>
      <c r="P16" s="7" t="str">
        <f>'카드이동서비스채널확대_테스트현황(상세)'!P16</f>
        <v>X</v>
      </c>
      <c r="Q16" s="7" t="str">
        <f>'카드이동서비스채널확대_테스트현황(상세)'!X16</f>
        <v>X</v>
      </c>
      <c r="R16" s="7" t="str">
        <f>'카드이동서비스채널확대_테스트현황(상세)'!Y15</f>
        <v>X</v>
      </c>
      <c r="S16" s="7" t="str">
        <f>'카드이동서비스채널확대_테스트현황(상세)'!Z16</f>
        <v>X</v>
      </c>
    </row>
    <row r="17" spans="1:34" x14ac:dyDescent="0.3">
      <c r="A17" s="12">
        <v>361</v>
      </c>
      <c r="B17" s="35" t="s">
        <v>73</v>
      </c>
      <c r="C17" s="48" t="s">
        <v>30</v>
      </c>
      <c r="D17" s="52">
        <f t="shared" ca="1" si="0"/>
        <v>0</v>
      </c>
      <c r="E17" s="109"/>
      <c r="F17" s="110"/>
      <c r="G17" s="110"/>
      <c r="H17" s="110"/>
      <c r="I17" s="7" t="str">
        <f ca="1">'카드이동서비스채널확대_테스트현황(상세)'!I17</f>
        <v>X</v>
      </c>
      <c r="J17" s="111"/>
      <c r="K17" s="7" t="str">
        <f>'카드이동서비스채널확대_테스트현황(상세)'!K17</f>
        <v>X</v>
      </c>
      <c r="L17" s="7" t="str">
        <f>'카드이동서비스채널확대_테스트현황(상세)'!L17</f>
        <v>X</v>
      </c>
      <c r="M17" s="7" t="str">
        <f>'카드이동서비스채널확대_테스트현황(상세)'!M17</f>
        <v>X</v>
      </c>
      <c r="N17" s="7" t="str">
        <f>'카드이동서비스채널확대_테스트현황(상세)'!N17</f>
        <v>X</v>
      </c>
      <c r="O17" s="7" t="str">
        <f>'카드이동서비스채널확대_테스트현황(상세)'!O17</f>
        <v>X</v>
      </c>
      <c r="P17" s="7" t="str">
        <f>'카드이동서비스채널확대_테스트현황(상세)'!P17</f>
        <v>X</v>
      </c>
      <c r="Q17" s="7" t="str">
        <f>'카드이동서비스채널확대_테스트현황(상세)'!X17</f>
        <v>X</v>
      </c>
      <c r="R17" s="7" t="str">
        <f>'카드이동서비스채널확대_테스트현황(상세)'!Y16</f>
        <v>X</v>
      </c>
      <c r="S17" s="7" t="str">
        <f>'카드이동서비스채널확대_테스트현황(상세)'!Z17</f>
        <v>X</v>
      </c>
    </row>
    <row r="18" spans="1:34" x14ac:dyDescent="0.3">
      <c r="I18" s="53"/>
    </row>
    <row r="19" spans="1:34" x14ac:dyDescent="0.3">
      <c r="I19" s="16"/>
    </row>
    <row r="20" spans="1:34" x14ac:dyDescent="0.3">
      <c r="A20" s="2"/>
      <c r="B20" s="2" t="s">
        <v>9</v>
      </c>
      <c r="C20" s="8"/>
      <c r="F20" s="8"/>
      <c r="L20" s="2"/>
      <c r="M20" s="8"/>
      <c r="Q20" s="8"/>
      <c r="R20" s="8"/>
    </row>
    <row r="21" spans="1:34" x14ac:dyDescent="0.3">
      <c r="A21" s="8"/>
      <c r="B21" s="8" t="s">
        <v>32</v>
      </c>
      <c r="C21" s="8"/>
      <c r="L21" s="8"/>
      <c r="M21" s="8"/>
    </row>
    <row r="22" spans="1:34" x14ac:dyDescent="0.3">
      <c r="A22" s="17"/>
      <c r="B22" s="17" t="s">
        <v>10</v>
      </c>
      <c r="C22" s="18" t="s">
        <v>14</v>
      </c>
      <c r="D22" s="18"/>
      <c r="E22" s="18"/>
      <c r="L22" s="17"/>
      <c r="M22" s="18"/>
      <c r="N22" s="18"/>
      <c r="O22" s="18"/>
      <c r="P22" s="18"/>
    </row>
    <row r="23" spans="1:34" x14ac:dyDescent="0.3">
      <c r="A23" s="17"/>
      <c r="B23" s="17" t="s">
        <v>11</v>
      </c>
      <c r="C23" s="18" t="s">
        <v>33</v>
      </c>
      <c r="D23" s="18"/>
      <c r="E23" s="18"/>
      <c r="L23" s="17"/>
      <c r="M23" s="18"/>
      <c r="N23" s="18"/>
      <c r="O23" s="18"/>
      <c r="P23" s="18"/>
    </row>
    <row r="24" spans="1:34" x14ac:dyDescent="0.3">
      <c r="A24" s="17"/>
      <c r="B24" s="17" t="s">
        <v>12</v>
      </c>
      <c r="C24" s="18" t="s">
        <v>34</v>
      </c>
      <c r="D24" s="18"/>
      <c r="E24" s="18"/>
      <c r="L24" s="17"/>
      <c r="M24" s="18"/>
      <c r="N24" s="18"/>
      <c r="O24" s="18"/>
      <c r="P24" s="18"/>
    </row>
    <row r="25" spans="1:34" x14ac:dyDescent="0.3">
      <c r="A25" s="17"/>
      <c r="B25" s="17"/>
      <c r="C25" s="18"/>
      <c r="D25" s="18"/>
      <c r="E25" s="18"/>
      <c r="L25" s="17"/>
      <c r="M25" s="18"/>
      <c r="N25" s="18"/>
      <c r="O25" s="18"/>
      <c r="P25" s="18"/>
    </row>
    <row r="26" spans="1:34" x14ac:dyDescent="0.3">
      <c r="A26" s="17"/>
      <c r="B26" s="8" t="s">
        <v>35</v>
      </c>
      <c r="C26" s="8"/>
      <c r="D26" s="18"/>
      <c r="E26" s="18"/>
      <c r="L26" s="17"/>
      <c r="M26" s="18"/>
      <c r="N26" s="18"/>
      <c r="O26" s="18"/>
      <c r="P26" s="18"/>
    </row>
    <row r="27" spans="1:34" x14ac:dyDescent="0.3">
      <c r="A27" s="8"/>
      <c r="B27" s="17" t="s">
        <v>10</v>
      </c>
      <c r="C27" s="18" t="s">
        <v>14</v>
      </c>
      <c r="D27" s="18"/>
      <c r="E27" s="18"/>
      <c r="L27" s="8"/>
      <c r="M27" s="8"/>
      <c r="N27" s="18"/>
      <c r="O27" s="18"/>
      <c r="P27" s="18"/>
    </row>
    <row r="28" spans="1:34" x14ac:dyDescent="0.3">
      <c r="A28" s="17"/>
      <c r="B28" s="8"/>
      <c r="C28" s="8"/>
      <c r="D28" s="18"/>
      <c r="E28" s="18"/>
      <c r="L28" s="17"/>
      <c r="M28" s="18"/>
      <c r="N28" s="18"/>
      <c r="O28" s="18"/>
      <c r="P28" s="18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17"/>
      <c r="B29" s="8" t="s">
        <v>36</v>
      </c>
      <c r="C29" s="8"/>
      <c r="D29" s="18"/>
      <c r="E29" s="18"/>
      <c r="L29" s="17"/>
      <c r="M29" s="18"/>
      <c r="N29" s="18"/>
      <c r="O29" s="18"/>
      <c r="P29" s="18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8"/>
      <c r="B30" s="17" t="s">
        <v>10</v>
      </c>
      <c r="C30" s="18" t="s">
        <v>14</v>
      </c>
      <c r="D30" s="18"/>
      <c r="E30" s="18"/>
      <c r="L30" s="8"/>
      <c r="M30" s="8"/>
      <c r="N30" s="18"/>
      <c r="O30" s="18"/>
      <c r="P30" s="18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spans="1:34" x14ac:dyDescent="0.3">
      <c r="A31" s="8"/>
      <c r="L31" s="8"/>
      <c r="M31" s="8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x14ac:dyDescent="0.3">
      <c r="A32" s="17"/>
      <c r="B32" s="8" t="s">
        <v>37</v>
      </c>
      <c r="C32" s="8"/>
      <c r="L32" s="17"/>
      <c r="M32" s="18"/>
      <c r="X32" s="26"/>
      <c r="Y32" s="27"/>
      <c r="Z32" s="27"/>
      <c r="AA32" s="27"/>
      <c r="AB32" s="27"/>
      <c r="AC32" s="27"/>
      <c r="AD32" s="27"/>
      <c r="AE32" s="28"/>
      <c r="AF32" s="26"/>
      <c r="AG32" s="26"/>
      <c r="AH32" s="26"/>
    </row>
    <row r="33" spans="1:34" x14ac:dyDescent="0.3">
      <c r="A33" s="17"/>
      <c r="B33" s="17" t="s">
        <v>10</v>
      </c>
      <c r="C33" s="18" t="s">
        <v>116</v>
      </c>
      <c r="L33" s="17"/>
      <c r="M33" s="18"/>
      <c r="X33" s="26"/>
      <c r="Y33" s="29"/>
      <c r="Z33" s="30"/>
      <c r="AA33" s="30"/>
      <c r="AB33" s="30"/>
      <c r="AC33" s="30"/>
      <c r="AD33" s="30"/>
      <c r="AE33" s="30"/>
      <c r="AF33" s="26"/>
      <c r="AG33" s="26"/>
      <c r="AH33" s="26"/>
    </row>
    <row r="34" spans="1:34" x14ac:dyDescent="0.3"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spans="1:34" x14ac:dyDescent="0.3">
      <c r="A35" s="8"/>
      <c r="B35" s="8" t="s">
        <v>38</v>
      </c>
      <c r="C35" s="8"/>
      <c r="L35" s="8"/>
      <c r="M35" s="8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x14ac:dyDescent="0.3">
      <c r="A36" s="17"/>
      <c r="B36" s="17" t="s">
        <v>10</v>
      </c>
      <c r="C36" s="18" t="s">
        <v>39</v>
      </c>
      <c r="L36" s="17"/>
      <c r="M36" s="18"/>
      <c r="X36" s="26" t="s">
        <v>85</v>
      </c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spans="1:34" x14ac:dyDescent="0.3">
      <c r="A37" s="17"/>
      <c r="B37" s="17" t="s">
        <v>11</v>
      </c>
      <c r="C37" s="18" t="s">
        <v>40</v>
      </c>
      <c r="L37" s="17"/>
      <c r="M37" s="18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B38" s="17" t="s">
        <v>12</v>
      </c>
      <c r="C38" s="18" t="s">
        <v>44</v>
      </c>
    </row>
    <row r="39" spans="1:34" x14ac:dyDescent="0.3">
      <c r="A39" s="8"/>
      <c r="B39" s="17" t="s">
        <v>13</v>
      </c>
      <c r="C39" s="18" t="s">
        <v>46</v>
      </c>
      <c r="L39" s="8"/>
      <c r="M39" s="8"/>
    </row>
    <row r="40" spans="1:34" x14ac:dyDescent="0.3">
      <c r="A40" s="17"/>
      <c r="B40" s="17" t="s">
        <v>43</v>
      </c>
      <c r="C40" s="18" t="s">
        <v>41</v>
      </c>
      <c r="L40" s="17"/>
      <c r="M40" s="18"/>
    </row>
    <row r="41" spans="1:34" x14ac:dyDescent="0.3">
      <c r="A41" s="17"/>
      <c r="B41" s="17" t="s">
        <v>45</v>
      </c>
      <c r="C41" s="18" t="s">
        <v>42</v>
      </c>
      <c r="L41" s="17"/>
      <c r="M41" s="18"/>
    </row>
    <row r="42" spans="1:34" x14ac:dyDescent="0.3">
      <c r="A42" s="17"/>
      <c r="B42" s="17"/>
      <c r="C42" s="17"/>
      <c r="L42" s="17"/>
      <c r="M42" s="18"/>
    </row>
    <row r="43" spans="1:34" x14ac:dyDescent="0.3">
      <c r="A43" s="17"/>
      <c r="B43" s="8" t="s">
        <v>59</v>
      </c>
      <c r="C43" s="8"/>
      <c r="L43" s="17"/>
      <c r="M43" s="18"/>
    </row>
    <row r="44" spans="1:34" x14ac:dyDescent="0.3">
      <c r="A44" s="17"/>
      <c r="B44" s="17" t="s">
        <v>10</v>
      </c>
      <c r="C44" s="18" t="s">
        <v>39</v>
      </c>
      <c r="L44" s="17"/>
      <c r="M44" s="18"/>
    </row>
    <row r="45" spans="1:34" x14ac:dyDescent="0.3">
      <c r="A45" s="17"/>
      <c r="B45" s="17" t="s">
        <v>11</v>
      </c>
      <c r="C45" s="18" t="s">
        <v>88</v>
      </c>
      <c r="L45" s="17"/>
      <c r="M45" s="18"/>
    </row>
    <row r="46" spans="1:34" x14ac:dyDescent="0.3">
      <c r="B46" s="17" t="s">
        <v>12</v>
      </c>
      <c r="C46" s="18" t="s">
        <v>89</v>
      </c>
    </row>
  </sheetData>
  <mergeCells count="3">
    <mergeCell ref="K4:P4"/>
    <mergeCell ref="Q4:S4"/>
    <mergeCell ref="E4:G4"/>
  </mergeCells>
  <phoneticPr fontId="2" type="noConversion"/>
  <conditionalFormatting sqref="D6:D17">
    <cfRule type="cellIs" dxfId="47" priority="93" operator="equal">
      <formula>0</formula>
    </cfRule>
    <cfRule type="cellIs" dxfId="46" priority="94" operator="lessThan">
      <formula>60</formula>
    </cfRule>
    <cfRule type="cellIs" dxfId="45" priority="95" operator="lessThan">
      <formula>80</formula>
    </cfRule>
    <cfRule type="cellIs" dxfId="44" priority="97" operator="lessThan">
      <formula>100</formula>
    </cfRule>
    <cfRule type="cellIs" dxfId="43" priority="97" operator="equal">
      <formula>100</formula>
    </cfRule>
  </conditionalFormatting>
  <conditionalFormatting sqref="C6:C10 C12:C17">
    <cfRule type="expression" dxfId="42" priority="88">
      <formula>$D6=0</formula>
    </cfRule>
    <cfRule type="expression" dxfId="41" priority="89">
      <formula>$D6&lt;60</formula>
    </cfRule>
    <cfRule type="expression" dxfId="40" priority="90">
      <formula>$D6&lt;80</formula>
    </cfRule>
    <cfRule type="expression" dxfId="39" priority="91">
      <formula>$D6&lt;100</formula>
    </cfRule>
    <cfRule type="expression" dxfId="38" priority="92">
      <formula>$D6=100</formula>
    </cfRule>
  </conditionalFormatting>
  <conditionalFormatting sqref="E6:I12 E15:I17 K6:S6 K7:Q12 S7:S12 K15:S17 E13:P14 R7:R14">
    <cfRule type="cellIs" dxfId="37" priority="19" operator="equal">
      <formula>"O"</formula>
    </cfRule>
  </conditionalFormatting>
  <conditionalFormatting sqref="C11">
    <cfRule type="expression" dxfId="36" priority="4">
      <formula>$D11=0</formula>
    </cfRule>
    <cfRule type="expression" dxfId="35" priority="5">
      <formula>$D11&lt;60</formula>
    </cfRule>
    <cfRule type="expression" dxfId="34" priority="6">
      <formula>$D11&lt;80</formula>
    </cfRule>
    <cfRule type="expression" dxfId="33" priority="7">
      <formula>$D11&lt;100</formula>
    </cfRule>
    <cfRule type="expression" dxfId="32" priority="8">
      <formula>$D11=100</formula>
    </cfRule>
  </conditionalFormatting>
  <conditionalFormatting sqref="J6:J12 J15:J17">
    <cfRule type="cellIs" dxfId="31" priority="2" operator="equal">
      <formula>"O"</formula>
    </cfRule>
  </conditionalFormatting>
  <conditionalFormatting sqref="Q13:Q14 S13:S14">
    <cfRule type="cellIs" dxfId="30" priority="1" operator="equal">
      <formula>"O"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3ABF-F034-4FB9-AAC3-AD9BE0579C6B}">
  <dimension ref="A1:AJ45"/>
  <sheetViews>
    <sheetView tabSelected="1" zoomScaleNormal="100" workbookViewId="0">
      <selection activeCell="B20" sqref="B20"/>
    </sheetView>
  </sheetViews>
  <sheetFormatPr defaultRowHeight="16.5" x14ac:dyDescent="0.3"/>
  <cols>
    <col min="2" max="2" width="9.625" bestFit="1" customWidth="1"/>
    <col min="3" max="3" width="9.625" customWidth="1"/>
    <col min="4" max="4" width="15" bestFit="1" customWidth="1"/>
    <col min="5" max="5" width="5.625" bestFit="1" customWidth="1"/>
    <col min="6" max="6" width="5.375" customWidth="1"/>
    <col min="7" max="7" width="5.375" bestFit="1" customWidth="1"/>
    <col min="8" max="10" width="7.5" bestFit="1" customWidth="1"/>
    <col min="11" max="14" width="5.375" bestFit="1" customWidth="1"/>
    <col min="15" max="16" width="5.375" customWidth="1"/>
    <col min="17" max="17" width="4.5" bestFit="1" customWidth="1"/>
    <col min="18" max="18" width="4.5" customWidth="1"/>
    <col min="19" max="19" width="5.375" customWidth="1"/>
    <col min="20" max="21" width="5.125" bestFit="1" customWidth="1"/>
    <col min="22" max="22" width="5.125" customWidth="1"/>
    <col min="23" max="23" width="5.375" customWidth="1"/>
    <col min="24" max="26" width="5.375" bestFit="1" customWidth="1"/>
    <col min="27" max="29" width="6.125" customWidth="1"/>
  </cols>
  <sheetData>
    <row r="1" spans="1:36" ht="17.25" thickBot="1" x14ac:dyDescent="0.35"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36" ht="17.25" customHeight="1" thickBot="1" x14ac:dyDescent="0.35">
      <c r="B2" s="9"/>
      <c r="C2" s="9"/>
      <c r="D2" s="10"/>
      <c r="E2" s="145">
        <v>980001</v>
      </c>
      <c r="F2" s="145"/>
      <c r="G2" s="145"/>
      <c r="H2" s="67">
        <v>980002</v>
      </c>
      <c r="I2" s="67">
        <v>980003</v>
      </c>
      <c r="J2" s="67">
        <v>980004</v>
      </c>
      <c r="K2" s="145" t="s">
        <v>55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56" t="s">
        <v>57</v>
      </c>
      <c r="Y2" s="157"/>
      <c r="Z2" s="157"/>
      <c r="AA2" s="157"/>
      <c r="AB2" s="157"/>
      <c r="AC2" s="158"/>
    </row>
    <row r="3" spans="1:36" ht="22.5" customHeight="1" thickBot="1" x14ac:dyDescent="0.35">
      <c r="B3" s="9"/>
      <c r="C3" s="9"/>
      <c r="D3" s="10"/>
      <c r="E3" s="146" t="s">
        <v>124</v>
      </c>
      <c r="F3" s="146"/>
      <c r="G3" s="146"/>
      <c r="H3" s="68" t="s">
        <v>51</v>
      </c>
      <c r="I3" s="68" t="s">
        <v>123</v>
      </c>
      <c r="J3" s="68" t="s">
        <v>125</v>
      </c>
      <c r="K3" s="146" t="s">
        <v>56</v>
      </c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59" t="s">
        <v>58</v>
      </c>
      <c r="Y3" s="160"/>
      <c r="Z3" s="160"/>
      <c r="AA3" s="160"/>
      <c r="AB3" s="160"/>
      <c r="AC3" s="161"/>
      <c r="AE3" s="141" t="s">
        <v>230</v>
      </c>
      <c r="AF3" s="142"/>
      <c r="AG3" s="142"/>
      <c r="AH3" s="142"/>
      <c r="AI3" s="142"/>
      <c r="AJ3" s="143"/>
    </row>
    <row r="4" spans="1:36" ht="16.5" customHeight="1" x14ac:dyDescent="0.3">
      <c r="B4" s="9"/>
      <c r="C4" s="9"/>
      <c r="D4" s="10"/>
      <c r="E4" s="131" t="s">
        <v>5</v>
      </c>
      <c r="F4" s="133" t="s">
        <v>6</v>
      </c>
      <c r="G4" s="149" t="s">
        <v>7</v>
      </c>
      <c r="H4" s="147" t="s">
        <v>5</v>
      </c>
      <c r="I4" s="137" t="s">
        <v>5</v>
      </c>
      <c r="J4" s="154" t="s">
        <v>5</v>
      </c>
      <c r="K4" s="131" t="s">
        <v>5</v>
      </c>
      <c r="L4" s="133" t="s">
        <v>6</v>
      </c>
      <c r="M4" s="133" t="s">
        <v>7</v>
      </c>
      <c r="N4" s="133" t="s">
        <v>8</v>
      </c>
      <c r="O4" s="139" t="s">
        <v>47</v>
      </c>
      <c r="P4" s="133" t="s">
        <v>48</v>
      </c>
      <c r="Q4" s="92" t="s">
        <v>15</v>
      </c>
      <c r="R4" s="54" t="s">
        <v>16</v>
      </c>
      <c r="S4" s="55" t="s">
        <v>50</v>
      </c>
      <c r="T4" s="56" t="s">
        <v>108</v>
      </c>
      <c r="U4" s="57" t="s">
        <v>109</v>
      </c>
      <c r="V4" s="57" t="s">
        <v>112</v>
      </c>
      <c r="W4" s="58" t="s">
        <v>113</v>
      </c>
      <c r="X4" s="131" t="s">
        <v>5</v>
      </c>
      <c r="Y4" s="133" t="s">
        <v>6</v>
      </c>
      <c r="Z4" s="133" t="s">
        <v>7</v>
      </c>
      <c r="AA4" s="94" t="s">
        <v>86</v>
      </c>
      <c r="AB4" s="59" t="s">
        <v>87</v>
      </c>
      <c r="AC4" s="60" t="s">
        <v>126</v>
      </c>
      <c r="AE4" s="137" t="s">
        <v>65</v>
      </c>
      <c r="AF4" s="135" t="s">
        <v>60</v>
      </c>
      <c r="AG4" s="127" t="s">
        <v>61</v>
      </c>
      <c r="AH4" s="127" t="s">
        <v>62</v>
      </c>
      <c r="AI4" s="127" t="s">
        <v>63</v>
      </c>
      <c r="AJ4" s="129" t="s">
        <v>64</v>
      </c>
    </row>
    <row r="5" spans="1:36" ht="42" customHeight="1" thickBot="1" x14ac:dyDescent="0.35">
      <c r="A5" s="3" t="s">
        <v>18</v>
      </c>
      <c r="B5" s="3" t="s">
        <v>66</v>
      </c>
      <c r="C5" s="3" t="s">
        <v>67</v>
      </c>
      <c r="D5" s="4" t="s">
        <v>3</v>
      </c>
      <c r="E5" s="132"/>
      <c r="F5" s="134"/>
      <c r="G5" s="150"/>
      <c r="H5" s="148"/>
      <c r="I5" s="132"/>
      <c r="J5" s="155"/>
      <c r="K5" s="132"/>
      <c r="L5" s="134"/>
      <c r="M5" s="134"/>
      <c r="N5" s="134"/>
      <c r="O5" s="140"/>
      <c r="P5" s="134"/>
      <c r="Q5" s="93" t="s">
        <v>49</v>
      </c>
      <c r="R5" s="24" t="s">
        <v>52</v>
      </c>
      <c r="S5" s="20" t="s">
        <v>75</v>
      </c>
      <c r="T5" s="21" t="s">
        <v>110</v>
      </c>
      <c r="U5" s="22" t="s">
        <v>111</v>
      </c>
      <c r="V5" s="22" t="s">
        <v>114</v>
      </c>
      <c r="W5" s="23" t="s">
        <v>115</v>
      </c>
      <c r="X5" s="132"/>
      <c r="Y5" s="134"/>
      <c r="Z5" s="134"/>
      <c r="AA5" s="95" t="s">
        <v>49</v>
      </c>
      <c r="AB5" s="61" t="s">
        <v>131</v>
      </c>
      <c r="AC5" s="62" t="s">
        <v>132</v>
      </c>
      <c r="AE5" s="138"/>
      <c r="AF5" s="136"/>
      <c r="AG5" s="128"/>
      <c r="AH5" s="128"/>
      <c r="AI5" s="128"/>
      <c r="AJ5" s="130"/>
    </row>
    <row r="6" spans="1:36" ht="17.25" thickTop="1" x14ac:dyDescent="0.3">
      <c r="A6" s="151" t="s">
        <v>69</v>
      </c>
      <c r="B6" s="33">
        <v>381</v>
      </c>
      <c r="C6" s="34">
        <v>381</v>
      </c>
      <c r="D6" s="6" t="s">
        <v>24</v>
      </c>
      <c r="E6" s="11" t="str" cm="1">
        <f t="array" aca="1" ref="E6" ca="1">INDIRECT(D6&amp;"!$I$5")</f>
        <v>O</v>
      </c>
      <c r="F6" s="86" t="str" cm="1">
        <f t="array" aca="1" ref="F6" ca="1">INDIRECT(D6&amp;"!$I$6")</f>
        <v>O</v>
      </c>
      <c r="G6" s="87" t="str" cm="1">
        <f t="array" aca="1" ref="G6" ca="1">INDIRECT(D6&amp;"!$I$7")</f>
        <v>O</v>
      </c>
      <c r="H6" s="11" t="str" cm="1">
        <f t="array" aca="1" ref="H6" ca="1">INDIRECT(D6&amp;"!$I$8")</f>
        <v>O</v>
      </c>
      <c r="I6" s="11" t="str" cm="1">
        <f t="array" aca="1" ref="I6" ca="1">INDIRECT(D6&amp;"!$I$9")</f>
        <v>O</v>
      </c>
      <c r="J6" s="83" t="str" cm="1">
        <f t="array" aca="1" ref="J6" ca="1">IF(IF(INDIRECT(D6&amp;"!$I$10")="O", 1, 0)+IF(INDIRECT(D6&amp;"!$I$11")="O", 1, 0)+IF(INDIRECT(D6&amp;"!$I$12")="O", 1, 0)+IF(INDIRECT(D6&amp;"!$I$13")="O", 1, 0)+IF(INDIRECT(D6&amp;"!$I$14")="O", 1, 0)&gt;=5, "O", "X")</f>
        <v>O</v>
      </c>
      <c r="K6" s="84" t="str">
        <f>IF(IF(Q6="",0, Q6)&gt;=5, "O", "X")</f>
        <v>X</v>
      </c>
      <c r="L6" s="85" t="str">
        <f>IF(IF(S6="",0, S6)&gt;=1, "O", "X")</f>
        <v>X</v>
      </c>
      <c r="M6" s="85" t="str">
        <f>IF(IF(T6="",0, T6)&gt;=1, "O", "X")</f>
        <v>X</v>
      </c>
      <c r="N6" s="85" t="str">
        <f>IF(IF(U6="",0, U6)&gt;=1, "O", "X")</f>
        <v>X</v>
      </c>
      <c r="O6" s="85" t="str">
        <f>IF(IF(V6="",0, V6)&gt;=1, "O", "X")</f>
        <v>X</v>
      </c>
      <c r="P6" s="85" t="str">
        <f>IF(IF(W6="",0, W6)&gt;=1, "O", "X")</f>
        <v>X</v>
      </c>
      <c r="Q6" s="36" t="str">
        <f>IFERROR(VLOOKUP(CONCATENATE($K$2,$B6,$C6,Q$4),#REF!,2,FALSE),"")</f>
        <v/>
      </c>
      <c r="R6" s="36" t="str">
        <f>IFERROR(VLOOKUP(CONCATENATE($K$2,$B6,$C6,R$4),#REF!,2,FALSE),"")</f>
        <v/>
      </c>
      <c r="S6" s="36" t="str">
        <f>IFERROR(VLOOKUP(CONCATENATE($K$2,$B6,$C6,S$4),#REF!,2,FALSE),"")</f>
        <v/>
      </c>
      <c r="T6" s="36" t="str">
        <f>IFERROR(VLOOKUP(CONCATENATE($K$2,$B6,$C6,T$4),#REF!,2,FALSE),"")</f>
        <v/>
      </c>
      <c r="U6" s="36" t="str">
        <f>IFERROR(VLOOKUP(CONCATENATE($K$2,$B6,$C6,U$4),#REF!,2,FALSE),"")</f>
        <v/>
      </c>
      <c r="V6" s="36" t="str">
        <f>IFERROR(VLOOKUP(CONCATENATE($K$2,$B6,$C6,V$4),#REF!,2,FALSE),"")</f>
        <v/>
      </c>
      <c r="W6" s="36" t="str">
        <f>IFERROR(VLOOKUP(CONCATENATE($K$2,$B6,$C6,W$4),#REF!,2,FALSE),"")</f>
        <v/>
      </c>
      <c r="X6" s="84" t="str">
        <f>IF(IF(AA6="",0, AA6)&gt;=5, "O", "X")</f>
        <v>X</v>
      </c>
      <c r="Y6" s="85" t="str">
        <f>IF(IF(AB6="",0, AB6)&gt;=1, "O", "X")</f>
        <v>X</v>
      </c>
      <c r="Z6" s="85" t="str">
        <f>IF(IF(AC6="",0, AC6)&gt;=1, "O", "X")</f>
        <v>X</v>
      </c>
      <c r="AA6" s="88" t="str">
        <f>IFERROR(VLOOKUP(CONCATENATE($X$2,$B6,$C6,AA$4),#REF!,2,FALSE),"")</f>
        <v/>
      </c>
      <c r="AB6" s="88" t="str">
        <f>IFERROR(VLOOKUP(CONCATENATE($X$2,$B6,$C6,AB$4),#REF!,2,FALSE),"")</f>
        <v/>
      </c>
      <c r="AC6" s="90" t="str">
        <f>IFERROR(VLOOKUP(CONCATENATE($X$2,$B6,$C6,AC$4),#REF!,2,FALSE),"")</f>
        <v/>
      </c>
      <c r="AE6" s="80" t="s">
        <v>229</v>
      </c>
      <c r="AF6" s="32" t="s">
        <v>229</v>
      </c>
      <c r="AG6" s="32" t="s">
        <v>229</v>
      </c>
      <c r="AH6" s="32" t="s">
        <v>229</v>
      </c>
      <c r="AI6" s="32" t="s">
        <v>229</v>
      </c>
      <c r="AJ6" s="117"/>
    </row>
    <row r="7" spans="1:36" x14ac:dyDescent="0.3">
      <c r="A7" s="152"/>
      <c r="B7" s="33">
        <v>365</v>
      </c>
      <c r="C7" s="34">
        <v>365</v>
      </c>
      <c r="D7" s="6" t="s">
        <v>26</v>
      </c>
      <c r="E7" s="11" t="str" cm="1">
        <f t="array" aca="1" ref="E7" ca="1">INDIRECT(D7&amp;"!$I$5")</f>
        <v>O</v>
      </c>
      <c r="F7" s="81"/>
      <c r="G7" s="87" t="str" cm="1">
        <f t="array" aca="1" ref="G7" ca="1">INDIRECT(D7&amp;"!$I$7")</f>
        <v>O</v>
      </c>
      <c r="H7" s="11" t="str" cm="1">
        <f t="array" aca="1" ref="H7" ca="1">INDIRECT(D7&amp;"!$I$8")</f>
        <v>O</v>
      </c>
      <c r="I7" s="11" t="str" cm="1">
        <f t="array" aca="1" ref="I7" ca="1">INDIRECT(D7&amp;"!$I$9")</f>
        <v>O</v>
      </c>
      <c r="J7" s="83" t="str" cm="1">
        <f t="array" aca="1" ref="J7" ca="1">IF(IF(INDIRECT(D7&amp;"!$I$10")="O", 1, 0)+IF(INDIRECT(D7&amp;"!$I$11")="O", 1, 0)+IF(INDIRECT(D7&amp;"!$I$12")="O", 1, 0)+IF(INDIRECT(D7&amp;"!$I$13")="O", 1, 0)+IF(INDIRECT(D7&amp;"!$I$14")="O", 1, 0)&gt;=5, "O", "X")</f>
        <v>O</v>
      </c>
      <c r="K7" s="80" t="str">
        <f t="shared" ref="K7:K17" si="0">IF(IF(Q7="",0, Q7)&gt;=5, "O", "X")</f>
        <v>X</v>
      </c>
      <c r="L7" s="32" t="str">
        <f t="shared" ref="L7:L17" si="1">IF(IF(S7="",0, S7)&gt;=1, "O", "X")</f>
        <v>X</v>
      </c>
      <c r="M7" s="32" t="str">
        <f t="shared" ref="M7:M17" si="2">IF(IF(T7="",0, T7)&gt;=1, "O", "X")</f>
        <v>X</v>
      </c>
      <c r="N7" s="32" t="str">
        <f t="shared" ref="N7:N17" si="3">IF(IF(U7="",0, U7)&gt;=1, "O", "X")</f>
        <v>X</v>
      </c>
      <c r="O7" s="32" t="str">
        <f t="shared" ref="O7:O17" si="4">IF(IF(V7="",0, V7)&gt;=1, "O", "X")</f>
        <v>X</v>
      </c>
      <c r="P7" s="32" t="str">
        <f t="shared" ref="P7:P17" si="5">IF(IF(W7="",0, W7)&gt;=1, "O", "X")</f>
        <v>X</v>
      </c>
      <c r="Q7" s="36" t="str">
        <f>IFERROR(VLOOKUP(CONCATENATE($K$2,$B7,$C7,Q$4),#REF!,2,FALSE),"")</f>
        <v/>
      </c>
      <c r="R7" s="36" t="str">
        <f>IFERROR(VLOOKUP(CONCATENATE($K$2,$B7,$C7,R$4),#REF!,2,FALSE),"")</f>
        <v/>
      </c>
      <c r="S7" s="36" t="str">
        <f>IFERROR(VLOOKUP(CONCATENATE($K$2,$B7,$C7,S$4),#REF!,2,FALSE),"")</f>
        <v/>
      </c>
      <c r="T7" s="36" t="str">
        <f>IFERROR(VLOOKUP(CONCATENATE($K$2,$B7,$C7,T$4),#REF!,2,FALSE),"")</f>
        <v/>
      </c>
      <c r="U7" s="36" t="str">
        <f>IFERROR(VLOOKUP(CONCATENATE($K$2,$B7,$C7,U$4),#REF!,2,FALSE),"")</f>
        <v/>
      </c>
      <c r="V7" s="36" t="str">
        <f>IFERROR(VLOOKUP(CONCATENATE($K$2,$B7,$C7,V$4),#REF!,2,FALSE),"")</f>
        <v/>
      </c>
      <c r="W7" s="36" t="str">
        <f>IFERROR(VLOOKUP(CONCATENATE($K$2,$B7,$C7,W$4),#REF!,2,FALSE),"")</f>
        <v/>
      </c>
      <c r="X7" s="80" t="str">
        <f>IF(IF(AA7="",0, AA7)&gt;=5, "O", "X")</f>
        <v>X</v>
      </c>
      <c r="Y7" s="32" t="str">
        <f t="shared" ref="Y7:Y17" si="6">IF(IF(AB7="",0, AB7)&gt;=1, "O", "X")</f>
        <v>X</v>
      </c>
      <c r="Z7" s="32" t="str">
        <f t="shared" ref="Z7:Z17" si="7">IF(IF(AC7="",0, AC7)&gt;=1, "O", "X")</f>
        <v>X</v>
      </c>
      <c r="AA7" s="89" t="str">
        <f>IFERROR(VLOOKUP(CONCATENATE($X$2,$B7,$C7,AA$4),#REF!,2,FALSE),"")</f>
        <v/>
      </c>
      <c r="AB7" s="89" t="str">
        <f>IFERROR(VLOOKUP(CONCATENATE($X$2,$B7,$C7,AB$4),#REF!,2,FALSE),"")</f>
        <v/>
      </c>
      <c r="AC7" s="91" t="str">
        <f>IFERROR(VLOOKUP(CONCATENATE($X$2,$B7,$C7,AC$4),#REF!,2,FALSE),"")</f>
        <v/>
      </c>
      <c r="AE7" s="80" t="s">
        <v>229</v>
      </c>
      <c r="AF7" s="32" t="s">
        <v>229</v>
      </c>
      <c r="AG7" s="32" t="s">
        <v>229</v>
      </c>
      <c r="AH7" s="32" t="s">
        <v>229</v>
      </c>
      <c r="AI7" s="32" t="s">
        <v>229</v>
      </c>
      <c r="AJ7" s="117"/>
    </row>
    <row r="8" spans="1:36" x14ac:dyDescent="0.3">
      <c r="A8" s="152"/>
      <c r="B8" s="33">
        <v>368</v>
      </c>
      <c r="C8" s="34">
        <v>368</v>
      </c>
      <c r="D8" s="6" t="s">
        <v>25</v>
      </c>
      <c r="E8" s="11" t="str" cm="1">
        <f t="array" aca="1" ref="E8" ca="1">INDIRECT(D8&amp;"!$I$5")</f>
        <v>O</v>
      </c>
      <c r="F8" s="86" t="str" cm="1">
        <f t="array" aca="1" ref="F8" ca="1">INDIRECT(D8&amp;"!$I$6")</f>
        <v>O</v>
      </c>
      <c r="G8" s="87" t="str" cm="1">
        <f t="array" aca="1" ref="G8" ca="1">INDIRECT(D8&amp;"!$I$7")</f>
        <v>O</v>
      </c>
      <c r="H8" s="11" t="str" cm="1">
        <f t="array" aca="1" ref="H8" ca="1">INDIRECT(D8&amp;"!$I$8")</f>
        <v>O</v>
      </c>
      <c r="I8" s="11" t="str" cm="1">
        <f t="array" aca="1" ref="I8" ca="1">INDIRECT(D8&amp;"!$I$9")</f>
        <v>O</v>
      </c>
      <c r="J8" s="83" t="str" cm="1">
        <f t="array" aca="1" ref="J8" ca="1">IF(IF(INDIRECT(D8&amp;"!$I$10")="O", 1, 0)+IF(INDIRECT(D8&amp;"!$I$11")="O", 1, 0)+IF(INDIRECT(D8&amp;"!$I$12")="O", 1, 0)+IF(INDIRECT(D8&amp;"!$I$13")="O", 1, 0)+IF(INDIRECT(D8&amp;"!$I$14")="O", 1, 0)&gt;=5, "O", "X")</f>
        <v>O</v>
      </c>
      <c r="K8" s="80" t="str">
        <f t="shared" si="0"/>
        <v>X</v>
      </c>
      <c r="L8" s="32" t="str">
        <f t="shared" si="1"/>
        <v>X</v>
      </c>
      <c r="M8" s="32" t="str">
        <f t="shared" si="2"/>
        <v>X</v>
      </c>
      <c r="N8" s="32" t="str">
        <f t="shared" si="3"/>
        <v>X</v>
      </c>
      <c r="O8" s="32" t="str">
        <f t="shared" si="4"/>
        <v>X</v>
      </c>
      <c r="P8" s="32" t="str">
        <f t="shared" si="5"/>
        <v>X</v>
      </c>
      <c r="Q8" s="36" t="str">
        <f>IFERROR(VLOOKUP(CONCATENATE($K$2,$B8,$C8,Q$4),#REF!,2,FALSE),"")</f>
        <v/>
      </c>
      <c r="R8" s="36" t="str">
        <f>IFERROR(VLOOKUP(CONCATENATE($K$2,$B8,$C8,R$4),#REF!,2,FALSE),"")</f>
        <v/>
      </c>
      <c r="S8" s="36" t="str">
        <f>IFERROR(VLOOKUP(CONCATENATE($K$2,$B8,$C8,S$4),#REF!,2,FALSE),"")</f>
        <v/>
      </c>
      <c r="T8" s="36" t="str">
        <f>IFERROR(VLOOKUP(CONCATENATE($K$2,$B8,$C8,T$4),#REF!,2,FALSE),"")</f>
        <v/>
      </c>
      <c r="U8" s="36" t="str">
        <f>IFERROR(VLOOKUP(CONCATENATE($K$2,$B8,$C8,U$4),#REF!,2,FALSE),"")</f>
        <v/>
      </c>
      <c r="V8" s="36" t="str">
        <f>IFERROR(VLOOKUP(CONCATENATE($K$2,$B8,$C8,V$4),#REF!,2,FALSE),"")</f>
        <v/>
      </c>
      <c r="W8" s="36" t="str">
        <f>IFERROR(VLOOKUP(CONCATENATE($K$2,$B8,$C8,W$4),#REF!,2,FALSE),"")</f>
        <v/>
      </c>
      <c r="X8" s="80" t="str">
        <f t="shared" ref="X8:X17" si="8">IF(IF(AA8="",0, AA8)&gt;=5, "O", "X")</f>
        <v>X</v>
      </c>
      <c r="Y8" s="32" t="str">
        <f t="shared" si="6"/>
        <v>X</v>
      </c>
      <c r="Z8" s="32" t="str">
        <f t="shared" si="7"/>
        <v>X</v>
      </c>
      <c r="AA8" s="89" t="str">
        <f>IFERROR(VLOOKUP(CONCATENATE($X$2,$B8,$C8,AA$4),#REF!,2,FALSE),"")</f>
        <v/>
      </c>
      <c r="AB8" s="89" t="str">
        <f>IFERROR(VLOOKUP(CONCATENATE($X$2,$B8,$C8,AB$4),#REF!,2,FALSE),"")</f>
        <v/>
      </c>
      <c r="AC8" s="91" t="str">
        <f>IFERROR(VLOOKUP(CONCATENATE($X$2,$B8,$C8,AC$4),#REF!,2,FALSE),"")</f>
        <v/>
      </c>
      <c r="AE8" s="80" t="s">
        <v>229</v>
      </c>
      <c r="AF8" s="32" t="s">
        <v>229</v>
      </c>
      <c r="AG8" s="32" t="s">
        <v>229</v>
      </c>
      <c r="AH8" s="32" t="s">
        <v>229</v>
      </c>
      <c r="AI8" s="32" t="s">
        <v>229</v>
      </c>
      <c r="AJ8" s="118" t="s">
        <v>229</v>
      </c>
    </row>
    <row r="9" spans="1:36" x14ac:dyDescent="0.3">
      <c r="A9" s="152"/>
      <c r="B9" s="33">
        <v>367</v>
      </c>
      <c r="C9" s="34">
        <v>367</v>
      </c>
      <c r="D9" s="6" t="s">
        <v>29</v>
      </c>
      <c r="E9" s="11" t="str" cm="1">
        <f t="array" aca="1" ref="E9" ca="1">INDIRECT(D9&amp;"!$I$5")</f>
        <v>O</v>
      </c>
      <c r="F9" s="86" t="str" cm="1">
        <f t="array" aca="1" ref="F9" ca="1">INDIRECT(D9&amp;"!$I$6")</f>
        <v>O</v>
      </c>
      <c r="G9" s="87" t="str" cm="1">
        <f t="array" aca="1" ref="G9" ca="1">INDIRECT(D9&amp;"!$I$7")</f>
        <v>O</v>
      </c>
      <c r="H9" s="11" t="str" cm="1">
        <f t="array" aca="1" ref="H9" ca="1">INDIRECT(D9&amp;"!$I$8")</f>
        <v>O</v>
      </c>
      <c r="I9" s="11" t="str" cm="1">
        <f t="array" aca="1" ref="I9" ca="1">INDIRECT(D9&amp;"!$I$9")</f>
        <v>O</v>
      </c>
      <c r="J9" s="83" t="str" cm="1">
        <f t="array" aca="1" ref="J9" ca="1">IF(IF(INDIRECT(D9&amp;"!$I$10")="O", 1, 0)+IF(INDIRECT(D9&amp;"!$I$11")="O", 1, 0)+IF(INDIRECT(D9&amp;"!$I$12")="O", 1, 0)+IF(INDIRECT(D9&amp;"!$I$13")="O", 1, 0)+IF(INDIRECT(D9&amp;"!$I$14")="O", 1, 0)&gt;=5, "O", "X")</f>
        <v>O</v>
      </c>
      <c r="K9" s="80" t="str">
        <f t="shared" si="0"/>
        <v>X</v>
      </c>
      <c r="L9" s="32" t="str">
        <f t="shared" si="1"/>
        <v>X</v>
      </c>
      <c r="M9" s="32" t="str">
        <f t="shared" si="2"/>
        <v>X</v>
      </c>
      <c r="N9" s="32" t="str">
        <f t="shared" si="3"/>
        <v>X</v>
      </c>
      <c r="O9" s="32" t="str">
        <f t="shared" si="4"/>
        <v>X</v>
      </c>
      <c r="P9" s="32" t="str">
        <f t="shared" si="5"/>
        <v>X</v>
      </c>
      <c r="Q9" s="36" t="str">
        <f>IFERROR(VLOOKUP(CONCATENATE($K$2,$B9,$C9,Q$4),#REF!,2,FALSE),"")</f>
        <v/>
      </c>
      <c r="R9" s="36" t="str">
        <f>IFERROR(VLOOKUP(CONCATENATE($K$2,$B9,$C9,R$4),#REF!,2,FALSE),"")</f>
        <v/>
      </c>
      <c r="S9" s="36" t="str">
        <f>IFERROR(VLOOKUP(CONCATENATE($K$2,$B9,$C9,S$4),#REF!,2,FALSE),"")</f>
        <v/>
      </c>
      <c r="T9" s="36" t="str">
        <f>IFERROR(VLOOKUP(CONCATENATE($K$2,$B9,$C9,T$4),#REF!,2,FALSE),"")</f>
        <v/>
      </c>
      <c r="U9" s="36" t="str">
        <f>IFERROR(VLOOKUP(CONCATENATE($K$2,$B9,$C9,U$4),#REF!,2,FALSE),"")</f>
        <v/>
      </c>
      <c r="V9" s="36" t="str">
        <f>IFERROR(VLOOKUP(CONCATENATE($K$2,$B9,$C9,V$4),#REF!,2,FALSE),"")</f>
        <v/>
      </c>
      <c r="W9" s="36" t="str">
        <f>IFERROR(VLOOKUP(CONCATENATE($K$2,$B9,$C9,W$4),#REF!,2,FALSE),"")</f>
        <v/>
      </c>
      <c r="X9" s="80" t="str">
        <f t="shared" si="8"/>
        <v>X</v>
      </c>
      <c r="Y9" s="32" t="str">
        <f t="shared" si="6"/>
        <v>X</v>
      </c>
      <c r="Z9" s="32" t="str">
        <f t="shared" si="7"/>
        <v>X</v>
      </c>
      <c r="AA9" s="89" t="str">
        <f>IFERROR(VLOOKUP(CONCATENATE($X$2,$B9,$C9,AA$4),#REF!,2,FALSE),"")</f>
        <v/>
      </c>
      <c r="AB9" s="89" t="str">
        <f>IFERROR(VLOOKUP(CONCATENATE($X$2,$B9,$C9,AB$4),#REF!,2,FALSE),"")</f>
        <v/>
      </c>
      <c r="AC9" s="91" t="str">
        <f>IFERROR(VLOOKUP(CONCATENATE($X$2,$B9,$C9,AC$4),#REF!,2,FALSE),"")</f>
        <v/>
      </c>
      <c r="AE9" s="80" t="s">
        <v>229</v>
      </c>
      <c r="AF9" s="32" t="s">
        <v>229</v>
      </c>
      <c r="AG9" s="32" t="s">
        <v>229</v>
      </c>
      <c r="AH9" s="32" t="s">
        <v>229</v>
      </c>
      <c r="AI9" s="32" t="s">
        <v>229</v>
      </c>
      <c r="AJ9" s="117"/>
    </row>
    <row r="10" spans="1:36" x14ac:dyDescent="0.3">
      <c r="A10" s="152"/>
      <c r="B10" s="12">
        <v>361</v>
      </c>
      <c r="C10" s="35">
        <v>361</v>
      </c>
      <c r="D10" s="6" t="s">
        <v>68</v>
      </c>
      <c r="E10" s="11" t="str" cm="1">
        <f t="array" aca="1" ref="E10" ca="1">INDIRECT(D10&amp;"!$I$5")</f>
        <v>O</v>
      </c>
      <c r="F10" s="86" t="str" cm="1">
        <f t="array" aca="1" ref="F10" ca="1">INDIRECT(D10&amp;"!$I$6")</f>
        <v>O</v>
      </c>
      <c r="G10" s="87" t="str" cm="1">
        <f t="array" aca="1" ref="G10" ca="1">INDIRECT(D10&amp;"!$I$7")</f>
        <v>O</v>
      </c>
      <c r="H10" s="11" t="str" cm="1">
        <f t="array" aca="1" ref="H10" ca="1">INDIRECT(D10&amp;"!$I$8")</f>
        <v>O</v>
      </c>
      <c r="I10" s="11" t="str" cm="1">
        <f t="array" aca="1" ref="I10" ca="1">INDIRECT(D10&amp;"!$I$9")</f>
        <v>O</v>
      </c>
      <c r="J10" s="83" t="str" cm="1">
        <f t="array" aca="1" ref="J10" ca="1">IF(IF(INDIRECT(D10&amp;"!$I$10")="O", 1, 0)+IF(INDIRECT(D10&amp;"!$I$11")="O", 1, 0)+IF(INDIRECT(D10&amp;"!$I$12")="O", 1, 0)+IF(INDIRECT(D10&amp;"!$I$13")="O", 1, 0)+IF(INDIRECT(D10&amp;"!$I$14")="O", 1, 0)&gt;=5, "O", "X")</f>
        <v>X</v>
      </c>
      <c r="K10" s="80" t="str">
        <f t="shared" si="0"/>
        <v>X</v>
      </c>
      <c r="L10" s="32" t="str">
        <f t="shared" si="1"/>
        <v>X</v>
      </c>
      <c r="M10" s="32" t="str">
        <f t="shared" si="2"/>
        <v>X</v>
      </c>
      <c r="N10" s="32" t="str">
        <f t="shared" si="3"/>
        <v>X</v>
      </c>
      <c r="O10" s="32" t="str">
        <f t="shared" si="4"/>
        <v>X</v>
      </c>
      <c r="P10" s="32" t="str">
        <f t="shared" si="5"/>
        <v>X</v>
      </c>
      <c r="Q10" s="36" t="str">
        <f>IFERROR(VLOOKUP(CONCATENATE($K$2,$B10,$C10,Q$4),#REF!,2,FALSE),"")</f>
        <v/>
      </c>
      <c r="R10" s="36" t="str">
        <f>IFERROR(VLOOKUP(CONCATENATE($K$2,$B10,$C10,R$4),#REF!,2,FALSE),"")</f>
        <v/>
      </c>
      <c r="S10" s="36" t="str">
        <f>IFERROR(VLOOKUP(CONCATENATE($K$2,$B10,$C10,S$4),#REF!,2,FALSE),"")</f>
        <v/>
      </c>
      <c r="T10" s="36" t="str">
        <f>IFERROR(VLOOKUP(CONCATENATE($K$2,$B10,$C10,T$4),#REF!,2,FALSE),"")</f>
        <v/>
      </c>
      <c r="U10" s="36" t="str">
        <f>IFERROR(VLOOKUP(CONCATENATE($K$2,$B10,$C10,U$4),#REF!,2,FALSE),"")</f>
        <v/>
      </c>
      <c r="V10" s="36" t="str">
        <f>IFERROR(VLOOKUP(CONCATENATE($K$2,$B10,$C10,V$4),#REF!,2,FALSE),"")</f>
        <v/>
      </c>
      <c r="W10" s="36" t="str">
        <f>IFERROR(VLOOKUP(CONCATENATE($K$2,$B10,$C10,W$4),#REF!,2,FALSE),"")</f>
        <v/>
      </c>
      <c r="X10" s="80" t="str">
        <f t="shared" si="8"/>
        <v>X</v>
      </c>
      <c r="Y10" s="32" t="str">
        <f t="shared" si="6"/>
        <v>X</v>
      </c>
      <c r="Z10" s="32" t="str">
        <f t="shared" si="7"/>
        <v>X</v>
      </c>
      <c r="AA10" s="89" t="str">
        <f>IFERROR(VLOOKUP(CONCATENATE($X$2,$B10,$C10,AA$4),#REF!,2,FALSE),"")</f>
        <v/>
      </c>
      <c r="AB10" s="89" t="str">
        <f>IFERROR(VLOOKUP(CONCATENATE($X$2,$B10,$C10,AB$4),#REF!,2,FALSE),"")</f>
        <v/>
      </c>
      <c r="AC10" s="91" t="str">
        <f>IFERROR(VLOOKUP(CONCATENATE($X$2,$B10,$C10,AC$4),#REF!,2,FALSE),"")</f>
        <v/>
      </c>
      <c r="AE10" s="80" t="s">
        <v>229</v>
      </c>
      <c r="AF10" s="32" t="s">
        <v>229</v>
      </c>
      <c r="AG10" s="32" t="s">
        <v>229</v>
      </c>
      <c r="AH10" s="32" t="s">
        <v>229</v>
      </c>
      <c r="AI10" s="32" t="s">
        <v>229</v>
      </c>
      <c r="AJ10" s="117"/>
    </row>
    <row r="11" spans="1:36" x14ac:dyDescent="0.3">
      <c r="A11" s="152"/>
      <c r="B11" s="12">
        <v>374</v>
      </c>
      <c r="C11" s="35">
        <v>374</v>
      </c>
      <c r="D11" s="6" t="s">
        <v>28</v>
      </c>
      <c r="E11" s="11" t="str" cm="1">
        <f t="array" aca="1" ref="E11" ca="1">INDIRECT(D11&amp;"!$I$5")</f>
        <v>O</v>
      </c>
      <c r="F11" s="86" t="str" cm="1">
        <f t="array" aca="1" ref="F11" ca="1">INDIRECT(D11&amp;"!$I$6")</f>
        <v>O</v>
      </c>
      <c r="G11" s="87" t="str" cm="1">
        <f t="array" aca="1" ref="G11" ca="1">INDIRECT(D11&amp;"!$I$7")</f>
        <v>O</v>
      </c>
      <c r="H11" s="11" t="str" cm="1">
        <f t="array" aca="1" ref="H11" ca="1">INDIRECT(D11&amp;"!$I$8")</f>
        <v>O</v>
      </c>
      <c r="I11" s="11" t="str" cm="1">
        <f t="array" aca="1" ref="I11" ca="1">INDIRECT(D11&amp;"!$I$9")</f>
        <v>O</v>
      </c>
      <c r="J11" s="83" t="str" cm="1">
        <f t="array" aca="1" ref="J11" ca="1">IF(IF(INDIRECT(D11&amp;"!$I$10")="O", 1, 0)+IF(INDIRECT(D11&amp;"!$I$11")="O", 1, 0)+IF(INDIRECT(D11&amp;"!$I$12")="O", 1, 0)+IF(INDIRECT(D11&amp;"!$I$13")="O", 1, 0)+IF(INDIRECT(D11&amp;"!$I$14")="O", 1, 0)&gt;=5, "O", "X")</f>
        <v>O</v>
      </c>
      <c r="K11" s="80" t="str">
        <f t="shared" si="0"/>
        <v>X</v>
      </c>
      <c r="L11" s="32" t="str">
        <f t="shared" si="1"/>
        <v>X</v>
      </c>
      <c r="M11" s="32" t="str">
        <f t="shared" si="2"/>
        <v>X</v>
      </c>
      <c r="N11" s="32" t="str">
        <f t="shared" si="3"/>
        <v>X</v>
      </c>
      <c r="O11" s="32" t="str">
        <f t="shared" si="4"/>
        <v>X</v>
      </c>
      <c r="P11" s="32" t="str">
        <f t="shared" si="5"/>
        <v>X</v>
      </c>
      <c r="Q11" s="36" t="str">
        <f>IFERROR(VLOOKUP(CONCATENATE($K$2,$B11,$C11,Q$4),#REF!,2,FALSE),"")</f>
        <v/>
      </c>
      <c r="R11" s="36" t="str">
        <f>IFERROR(VLOOKUP(CONCATENATE($K$2,$B11,$C11,R$4),#REF!,2,FALSE),"")</f>
        <v/>
      </c>
      <c r="S11" s="36" t="str">
        <f>IFERROR(VLOOKUP(CONCATENATE($K$2,$B11,$C11,S$4),#REF!,2,FALSE),"")</f>
        <v/>
      </c>
      <c r="T11" s="36" t="str">
        <f>IFERROR(VLOOKUP(CONCATENATE($K$2,$B11,$C11,T$4),#REF!,2,FALSE),"")</f>
        <v/>
      </c>
      <c r="U11" s="36" t="str">
        <f>IFERROR(VLOOKUP(CONCATENATE($K$2,$B11,$C11,U$4),#REF!,2,FALSE),"")</f>
        <v/>
      </c>
      <c r="V11" s="36" t="str">
        <f>IFERROR(VLOOKUP(CONCATENATE($K$2,$B11,$C11,V$4),#REF!,2,FALSE),"")</f>
        <v/>
      </c>
      <c r="W11" s="36" t="str">
        <f>IFERROR(VLOOKUP(CONCATENATE($K$2,$B11,$C11,W$4),#REF!,2,FALSE),"")</f>
        <v/>
      </c>
      <c r="X11" s="80" t="str">
        <f t="shared" si="8"/>
        <v>X</v>
      </c>
      <c r="Y11" s="32" t="str">
        <f t="shared" si="6"/>
        <v>X</v>
      </c>
      <c r="Z11" s="32" t="str">
        <f t="shared" si="7"/>
        <v>X</v>
      </c>
      <c r="AA11" s="89" t="str">
        <f>IFERROR(VLOOKUP(CONCATENATE($X$2,$B11,$C11,AA$4),#REF!,2,FALSE),"")</f>
        <v/>
      </c>
      <c r="AB11" s="89" t="str">
        <f>IFERROR(VLOOKUP(CONCATENATE($X$2,$B11,$C11,AB$4),#REF!,2,FALSE),"")</f>
        <v/>
      </c>
      <c r="AC11" s="91" t="str">
        <f>IFERROR(VLOOKUP(CONCATENATE($X$2,$B11,$C11,AC$4),#REF!,2,FALSE),"")</f>
        <v/>
      </c>
      <c r="AE11" s="80" t="s">
        <v>229</v>
      </c>
      <c r="AF11" s="32" t="s">
        <v>229</v>
      </c>
      <c r="AG11" s="32" t="s">
        <v>229</v>
      </c>
      <c r="AH11" s="32" t="s">
        <v>229</v>
      </c>
      <c r="AI11" s="32" t="s">
        <v>229</v>
      </c>
      <c r="AJ11" s="117"/>
    </row>
    <row r="12" spans="1:36" x14ac:dyDescent="0.3">
      <c r="A12" s="152"/>
      <c r="B12" s="12">
        <v>366</v>
      </c>
      <c r="C12" s="35">
        <v>366</v>
      </c>
      <c r="D12" s="6" t="s">
        <v>27</v>
      </c>
      <c r="E12" s="75"/>
      <c r="F12" s="86" t="str" cm="1">
        <f t="array" aca="1" ref="F12" ca="1">INDIRECT(D12&amp;"!$I$6")</f>
        <v>O</v>
      </c>
      <c r="G12" s="87" t="str" cm="1">
        <f t="array" aca="1" ref="G12" ca="1">INDIRECT(D12&amp;"!$I$7")</f>
        <v>O</v>
      </c>
      <c r="H12" s="11" t="str" cm="1">
        <f t="array" aca="1" ref="H12" ca="1">INDIRECT(D12&amp;"!$I$8")</f>
        <v>O</v>
      </c>
      <c r="I12" s="11" t="str" cm="1">
        <f t="array" aca="1" ref="I12" ca="1">INDIRECT(D12&amp;"!$I$9")</f>
        <v>O</v>
      </c>
      <c r="J12" s="83" t="str" cm="1">
        <f t="array" aca="1" ref="J12" ca="1">IF(IF(INDIRECT(D12&amp;"!$I$10")="O", 1, 0)+IF(INDIRECT(D12&amp;"!$I$11")="O", 1, 0)+IF(INDIRECT(D12&amp;"!$I$12")="O", 1, 0)+IF(INDIRECT(D12&amp;"!$I$13")="O", 1, 0)+IF(INDIRECT(D12&amp;"!$I$14")="O", 1, 0)&gt;=5, "O", "X")</f>
        <v>O</v>
      </c>
      <c r="K12" s="80" t="str">
        <f t="shared" si="0"/>
        <v>X</v>
      </c>
      <c r="L12" s="32" t="str">
        <f t="shared" si="1"/>
        <v>X</v>
      </c>
      <c r="M12" s="32" t="str">
        <f t="shared" si="2"/>
        <v>X</v>
      </c>
      <c r="N12" s="32" t="str">
        <f t="shared" si="3"/>
        <v>X</v>
      </c>
      <c r="O12" s="32" t="str">
        <f t="shared" si="4"/>
        <v>X</v>
      </c>
      <c r="P12" s="32" t="str">
        <f t="shared" si="5"/>
        <v>X</v>
      </c>
      <c r="Q12" s="36" t="str">
        <f>IFERROR(VLOOKUP(CONCATENATE($K$2,$B12,$C12,Q$4),#REF!,2,FALSE),"")</f>
        <v/>
      </c>
      <c r="R12" s="36" t="str">
        <f>IFERROR(VLOOKUP(CONCATENATE($K$2,$B12,$C12,R$4),#REF!,2,FALSE),"")</f>
        <v/>
      </c>
      <c r="S12" s="36" t="str">
        <f>IFERROR(VLOOKUP(CONCATENATE($K$2,$B12,$C12,S$4),#REF!,2,FALSE),"")</f>
        <v/>
      </c>
      <c r="T12" s="36" t="str">
        <f>IFERROR(VLOOKUP(CONCATENATE($K$2,$B12,$C12,T$4),#REF!,2,FALSE),"")</f>
        <v/>
      </c>
      <c r="U12" s="36" t="str">
        <f>IFERROR(VLOOKUP(CONCATENATE($K$2,$B12,$C12,U$4),#REF!,2,FALSE),"")</f>
        <v/>
      </c>
      <c r="V12" s="36" t="str">
        <f>IFERROR(VLOOKUP(CONCATENATE($K$2,$B12,$C12,V$4),#REF!,2,FALSE),"")</f>
        <v/>
      </c>
      <c r="W12" s="36" t="str">
        <f>IFERROR(VLOOKUP(CONCATENATE($K$2,$B12,$C12,W$4),#REF!,2,FALSE),"")</f>
        <v/>
      </c>
      <c r="X12" s="80" t="str">
        <f t="shared" si="8"/>
        <v>X</v>
      </c>
      <c r="Y12" s="32" t="str">
        <f t="shared" si="6"/>
        <v>X</v>
      </c>
      <c r="Z12" s="32" t="str">
        <f t="shared" si="7"/>
        <v>X</v>
      </c>
      <c r="AA12" s="89" t="str">
        <f>IFERROR(VLOOKUP(CONCATENATE($X$2,$B12,$C12,AA$4),#REF!,2,FALSE),"")</f>
        <v/>
      </c>
      <c r="AB12" s="89" t="str">
        <f>IFERROR(VLOOKUP(CONCATENATE($X$2,$B12,$C12,AB$4),#REF!,2,FALSE),"")</f>
        <v/>
      </c>
      <c r="AC12" s="91" t="str">
        <f>IFERROR(VLOOKUP(CONCATENATE($X$2,$B12,$C12,AC$4),#REF!,2,FALSE),"")</f>
        <v/>
      </c>
      <c r="AE12" s="80" t="s">
        <v>229</v>
      </c>
      <c r="AF12" s="32" t="s">
        <v>229</v>
      </c>
      <c r="AG12" s="32" t="s">
        <v>229</v>
      </c>
      <c r="AH12" s="32" t="s">
        <v>229</v>
      </c>
      <c r="AI12" s="32" t="s">
        <v>229</v>
      </c>
      <c r="AJ12" s="118" t="s">
        <v>229</v>
      </c>
    </row>
    <row r="13" spans="1:36" x14ac:dyDescent="0.3">
      <c r="A13" s="152"/>
      <c r="B13" s="35" t="s">
        <v>74</v>
      </c>
      <c r="C13" s="35" t="s">
        <v>74</v>
      </c>
      <c r="D13" s="6" t="s">
        <v>84</v>
      </c>
      <c r="E13" s="11" t="str" cm="1">
        <f t="array" aca="1" ref="E13" ca="1">INDIRECT(D13&amp;"!$I$5")</f>
        <v>O</v>
      </c>
      <c r="F13" s="86" t="str" cm="1">
        <f t="array" aca="1" ref="F13" ca="1">INDIRECT(D13&amp;"!$I$6")</f>
        <v>O</v>
      </c>
      <c r="G13" s="87" t="str" cm="1">
        <f t="array" aca="1" ref="G13" ca="1">INDIRECT(D13&amp;"!$I$7")</f>
        <v>O</v>
      </c>
      <c r="H13" s="11" t="str" cm="1">
        <f t="array" aca="1" ref="H13" ca="1">INDIRECT(D13&amp;"!$I$8")</f>
        <v>O</v>
      </c>
      <c r="I13" s="11" t="str" cm="1">
        <f t="array" aca="1" ref="I13" ca="1">INDIRECT(D13&amp;"!$I$9")</f>
        <v>O</v>
      </c>
      <c r="J13" s="83" t="str" cm="1">
        <f t="array" aca="1" ref="J13" ca="1">IF(IF(INDIRECT(D13&amp;"!$I$10")="O", 1, 0)+IF(INDIRECT(D13&amp;"!$I$11")="O", 1, 0)+IF(INDIRECT(D13&amp;"!$I$12")="O", 1, 0)+IF(INDIRECT(D13&amp;"!$I$13")="O", 1, 0)+IF(INDIRECT(D13&amp;"!$I$14")="O", 1, 0)&gt;=5, "O", "X")</f>
        <v>X</v>
      </c>
      <c r="K13" s="80" t="str">
        <f t="shared" si="0"/>
        <v>X</v>
      </c>
      <c r="L13" s="32" t="str">
        <f t="shared" si="1"/>
        <v>X</v>
      </c>
      <c r="M13" s="32" t="str">
        <f t="shared" si="2"/>
        <v>X</v>
      </c>
      <c r="N13" s="32" t="str">
        <f t="shared" si="3"/>
        <v>X</v>
      </c>
      <c r="O13" s="32" t="str">
        <f t="shared" si="4"/>
        <v>X</v>
      </c>
      <c r="P13" s="32" t="str">
        <f t="shared" si="5"/>
        <v>X</v>
      </c>
      <c r="Q13" s="36" t="str">
        <f>IFERROR(VLOOKUP(CONCATENATE($K$2,$B13,$C13,Q$4),#REF!,2,FALSE),"")</f>
        <v/>
      </c>
      <c r="R13" s="36" t="str">
        <f>IFERROR(VLOOKUP(CONCATENATE($K$2,$B13,$C13,R$4),#REF!,2,FALSE),"")</f>
        <v/>
      </c>
      <c r="S13" s="36" t="str">
        <f>IFERROR(VLOOKUP(CONCATENATE($K$2,$B13,$C13,S$4),#REF!,2,FALSE),"")</f>
        <v/>
      </c>
      <c r="T13" s="36" t="str">
        <f>IFERROR(VLOOKUP(CONCATENATE($K$2,$B13,$C13,T$4),#REF!,2,FALSE),"")</f>
        <v/>
      </c>
      <c r="U13" s="36" t="str">
        <f>IFERROR(VLOOKUP(CONCATENATE($K$2,$B13,$C13,U$4),#REF!,2,FALSE),"")</f>
        <v/>
      </c>
      <c r="V13" s="36" t="str">
        <f>IFERROR(VLOOKUP(CONCATENATE($K$2,$B13,$C13,V$4),#REF!,2,FALSE),"")</f>
        <v/>
      </c>
      <c r="W13" s="36" t="str">
        <f>IFERROR(VLOOKUP(CONCATENATE($K$2,$B13,$C13,W$4),#REF!,2,FALSE),"")</f>
        <v/>
      </c>
      <c r="X13" s="80" t="str">
        <f t="shared" si="8"/>
        <v>X</v>
      </c>
      <c r="Y13" s="32" t="str">
        <f t="shared" si="6"/>
        <v>X</v>
      </c>
      <c r="Z13" s="32" t="str">
        <f t="shared" si="7"/>
        <v>X</v>
      </c>
      <c r="AA13" s="89" t="str">
        <f>IFERROR(VLOOKUP(CONCATENATE($X$2,$B13,$C13,AA$4),#REF!,2,FALSE),"")</f>
        <v/>
      </c>
      <c r="AB13" s="89" t="str">
        <f>IFERROR(VLOOKUP(CONCATENATE($X$2,$B13,$C13,AB$4),#REF!,2,FALSE),"")</f>
        <v/>
      </c>
      <c r="AC13" s="91" t="str">
        <f>IFERROR(VLOOKUP(CONCATENATE($X$2,$B13,$C13,AC$4),#REF!,2,FALSE),"")</f>
        <v/>
      </c>
      <c r="AE13" s="80" t="s">
        <v>229</v>
      </c>
      <c r="AF13" s="32" t="s">
        <v>229</v>
      </c>
      <c r="AG13" s="32" t="s">
        <v>229</v>
      </c>
      <c r="AH13" s="32" t="s">
        <v>229</v>
      </c>
      <c r="AI13" s="32" t="s">
        <v>229</v>
      </c>
      <c r="AJ13" s="118" t="s">
        <v>229</v>
      </c>
    </row>
    <row r="14" spans="1:36" x14ac:dyDescent="0.3">
      <c r="A14" s="153"/>
      <c r="B14" s="35" t="s">
        <v>72</v>
      </c>
      <c r="C14" s="35" t="s">
        <v>72</v>
      </c>
      <c r="D14" s="6" t="s">
        <v>127</v>
      </c>
      <c r="E14" s="11" t="str" cm="1">
        <f t="array" aca="1" ref="E14" ca="1">INDIRECT(D14&amp;"!$I$5")</f>
        <v>X</v>
      </c>
      <c r="F14" s="86" t="str" cm="1">
        <f t="array" aca="1" ref="F14" ca="1">INDIRECT(D14&amp;"!$I$6")</f>
        <v>X</v>
      </c>
      <c r="G14" s="87" t="str" cm="1">
        <f t="array" aca="1" ref="G14" ca="1">INDIRECT(D14&amp;"!$I$7")</f>
        <v>X</v>
      </c>
      <c r="H14" s="11" t="str" cm="1">
        <f t="array" aca="1" ref="H14" ca="1">INDIRECT(D14&amp;"!$I$8")</f>
        <v>X</v>
      </c>
      <c r="I14" s="11" t="str" cm="1">
        <f t="array" aca="1" ref="I14" ca="1">INDIRECT(D14&amp;"!$I$9")</f>
        <v>X</v>
      </c>
      <c r="J14" s="83" t="str" cm="1">
        <f t="array" aca="1" ref="J14" ca="1">IF(IF(INDIRECT(D14&amp;"!$I$10")="O", 1, 0)+IF(INDIRECT(D14&amp;"!$I$11")="O", 1, 0)+IF(INDIRECT(D14&amp;"!$I$12")="O", 1, 0)+IF(INDIRECT(D14&amp;"!$I$13")="O", 1, 0)+IF(INDIRECT(D14&amp;"!$I$14")="O", 1, 0)&gt;=5, "O", "X")</f>
        <v>X</v>
      </c>
      <c r="K14" s="80" t="str">
        <f t="shared" si="0"/>
        <v>X</v>
      </c>
      <c r="L14" s="32" t="str">
        <f t="shared" si="1"/>
        <v>X</v>
      </c>
      <c r="M14" s="32" t="str">
        <f t="shared" si="2"/>
        <v>X</v>
      </c>
      <c r="N14" s="32" t="str">
        <f t="shared" si="3"/>
        <v>X</v>
      </c>
      <c r="O14" s="32" t="str">
        <f t="shared" si="4"/>
        <v>X</v>
      </c>
      <c r="P14" s="32" t="str">
        <f t="shared" si="5"/>
        <v>X</v>
      </c>
      <c r="Q14" s="36" t="str">
        <f>IFERROR(VLOOKUP(CONCATENATE($K$2,$B14,$C14,Q$4),#REF!,2,FALSE),"")</f>
        <v/>
      </c>
      <c r="R14" s="36" t="str">
        <f>IFERROR(VLOOKUP(CONCATENATE($K$2,$B14,$C14,R$4),#REF!,2,FALSE),"")</f>
        <v/>
      </c>
      <c r="S14" s="36" t="str">
        <f>IFERROR(VLOOKUP(CONCATENATE($K$2,$B14,$C14,S$4),#REF!,2,FALSE),"")</f>
        <v/>
      </c>
      <c r="T14" s="36" t="str">
        <f>IFERROR(VLOOKUP(CONCATENATE($K$2,$B14,$C14,T$4),#REF!,2,FALSE),"")</f>
        <v/>
      </c>
      <c r="U14" s="36" t="str">
        <f>IFERROR(VLOOKUP(CONCATENATE($K$2,$B14,$C14,U$4),#REF!,2,FALSE),"")</f>
        <v/>
      </c>
      <c r="V14" s="36" t="str">
        <f>IFERROR(VLOOKUP(CONCATENATE($K$2,$B14,$C14,V$4),#REF!,2,FALSE),"")</f>
        <v/>
      </c>
      <c r="W14" s="36" t="str">
        <f>IFERROR(VLOOKUP(CONCATENATE($K$2,$B14,$C14,W$4),#REF!,2,FALSE),"")</f>
        <v/>
      </c>
      <c r="X14" s="80" t="str">
        <f t="shared" si="8"/>
        <v>X</v>
      </c>
      <c r="Y14" s="32" t="str">
        <f t="shared" si="6"/>
        <v>X</v>
      </c>
      <c r="Z14" s="32" t="str">
        <f t="shared" si="7"/>
        <v>X</v>
      </c>
      <c r="AA14" s="89" t="str">
        <f>IFERROR(VLOOKUP(CONCATENATE($X$2,$B14,$C14,AA$4),#REF!,2,FALSE),"")</f>
        <v/>
      </c>
      <c r="AB14" s="89" t="str">
        <f>IFERROR(VLOOKUP(CONCATENATE($X$2,$B14,$C14,AB$4),#REF!,2,FALSE),"")</f>
        <v/>
      </c>
      <c r="AC14" s="91" t="str">
        <f>IFERROR(VLOOKUP(CONCATENATE($X$2,$B14,$C14,AC$4),#REF!,2,FALSE),"")</f>
        <v/>
      </c>
      <c r="AE14" s="119"/>
      <c r="AF14" s="79"/>
      <c r="AG14" s="79"/>
      <c r="AH14" s="32" t="s">
        <v>229</v>
      </c>
      <c r="AI14" s="79"/>
      <c r="AJ14" s="120"/>
    </row>
    <row r="15" spans="1:36" x14ac:dyDescent="0.3">
      <c r="A15" s="144" t="s">
        <v>70</v>
      </c>
      <c r="B15" s="12">
        <v>374</v>
      </c>
      <c r="C15" s="35" t="s">
        <v>71</v>
      </c>
      <c r="D15" s="6" t="s">
        <v>31</v>
      </c>
      <c r="E15" s="75"/>
      <c r="F15" s="81"/>
      <c r="G15" s="82"/>
      <c r="H15" s="75"/>
      <c r="I15" s="11" t="str" cm="1">
        <f t="array" aca="1" ref="I15" ca="1">INDIRECT(D15&amp;"!$I$5")</f>
        <v>O</v>
      </c>
      <c r="J15" s="76"/>
      <c r="K15" s="75"/>
      <c r="L15" s="81"/>
      <c r="M15" s="81"/>
      <c r="N15" s="81"/>
      <c r="O15" s="81"/>
      <c r="P15" s="81"/>
      <c r="Q15" s="36"/>
      <c r="R15" s="36"/>
      <c r="S15" s="36"/>
      <c r="T15" s="36"/>
      <c r="U15" s="36"/>
      <c r="V15" s="36"/>
      <c r="W15" s="36"/>
      <c r="X15" s="80" t="str">
        <f t="shared" si="8"/>
        <v>X</v>
      </c>
      <c r="Y15" s="32" t="str">
        <f t="shared" si="6"/>
        <v>X</v>
      </c>
      <c r="Z15" s="32" t="str">
        <f t="shared" si="7"/>
        <v>X</v>
      </c>
      <c r="AA15" s="89" t="str">
        <f>IFERROR(VLOOKUP(CONCATENATE($X$2,$B15,$C15,AA$4),#REF!,2,FALSE),"")</f>
        <v/>
      </c>
      <c r="AB15" s="89" t="str">
        <f>IFERROR(VLOOKUP(CONCATENATE($X$2,$B15,$C15,AB$4),#REF!,2,FALSE),"")</f>
        <v/>
      </c>
      <c r="AC15" s="91" t="str">
        <f>IFERROR(VLOOKUP(CONCATENATE($X$2,$B15,$C15,AC$4),#REF!,2,FALSE),"")</f>
        <v/>
      </c>
      <c r="AE15" s="80" t="s">
        <v>229</v>
      </c>
      <c r="AF15" s="31"/>
      <c r="AG15" s="31"/>
      <c r="AH15" s="31"/>
      <c r="AI15" s="31"/>
      <c r="AJ15" s="117"/>
    </row>
    <row r="16" spans="1:36" x14ac:dyDescent="0.3">
      <c r="A16" s="144"/>
      <c r="B16" s="12">
        <v>381</v>
      </c>
      <c r="C16" s="35" t="s">
        <v>72</v>
      </c>
      <c r="D16" s="6" t="s">
        <v>53</v>
      </c>
      <c r="E16" s="75"/>
      <c r="F16" s="81"/>
      <c r="G16" s="82"/>
      <c r="H16" s="77"/>
      <c r="I16" s="11" t="str" cm="1">
        <f t="array" aca="1" ref="I16" ca="1">INDIRECT(D16&amp;"!$I$5")</f>
        <v>O</v>
      </c>
      <c r="J16" s="78"/>
      <c r="K16" s="80" t="str">
        <f t="shared" si="0"/>
        <v>X</v>
      </c>
      <c r="L16" s="32" t="str">
        <f t="shared" si="1"/>
        <v>X</v>
      </c>
      <c r="M16" s="32" t="str">
        <f t="shared" si="2"/>
        <v>X</v>
      </c>
      <c r="N16" s="32" t="str">
        <f t="shared" si="3"/>
        <v>X</v>
      </c>
      <c r="O16" s="32" t="str">
        <f t="shared" si="4"/>
        <v>X</v>
      </c>
      <c r="P16" s="32" t="str">
        <f t="shared" si="5"/>
        <v>X</v>
      </c>
      <c r="Q16" s="36" t="str">
        <f>IFERROR(VLOOKUP(CONCATENATE($K$2,$B16,$C16,Q$4),#REF!,2,FALSE),"")</f>
        <v/>
      </c>
      <c r="R16" s="36" t="str">
        <f>IFERROR(VLOOKUP(CONCATENATE($K$2,$B16,$C16,R$4),#REF!,2,FALSE),"")</f>
        <v/>
      </c>
      <c r="S16" s="36" t="str">
        <f>IFERROR(VLOOKUP(CONCATENATE($K$2,$B16,$C16,S$4),#REF!,2,FALSE),"")</f>
        <v/>
      </c>
      <c r="T16" s="36" t="str">
        <f>IFERROR(VLOOKUP(CONCATENATE($K$2,$B16,$C16,T$4),#REF!,2,FALSE),"")</f>
        <v/>
      </c>
      <c r="U16" s="36" t="str">
        <f>IFERROR(VLOOKUP(CONCATENATE($K$2,$B16,$C16,U$4),#REF!,2,FALSE),"")</f>
        <v/>
      </c>
      <c r="V16" s="36" t="str">
        <f>IFERROR(VLOOKUP(CONCATENATE($K$2,$B16,$C16,V$4),#REF!,2,FALSE),"")</f>
        <v/>
      </c>
      <c r="W16" s="36" t="str">
        <f>IFERROR(VLOOKUP(CONCATENATE($K$2,$B16,$C16,W$4),#REF!,2,FALSE),"")</f>
        <v/>
      </c>
      <c r="X16" s="80" t="str">
        <f t="shared" si="8"/>
        <v>X</v>
      </c>
      <c r="Y16" s="32" t="str">
        <f t="shared" si="6"/>
        <v>X</v>
      </c>
      <c r="Z16" s="32" t="str">
        <f t="shared" si="7"/>
        <v>X</v>
      </c>
      <c r="AA16" s="89" t="str">
        <f>IFERROR(VLOOKUP(CONCATENATE($X$2,$B16,$C16,AA$4),#REF!,2,FALSE),"")</f>
        <v/>
      </c>
      <c r="AB16" s="89" t="str">
        <f>IFERROR(VLOOKUP(CONCATENATE($X$2,$B16,$C16,AB$4),#REF!,2,FALSE),"")</f>
        <v/>
      </c>
      <c r="AC16" s="91" t="str">
        <f>IFERROR(VLOOKUP(CONCATENATE($X$2,$B16,$C16,AC$4),#REF!,2,FALSE),"")</f>
        <v/>
      </c>
      <c r="AE16" s="80" t="s">
        <v>229</v>
      </c>
      <c r="AF16" s="32" t="s">
        <v>229</v>
      </c>
      <c r="AG16" s="32" t="s">
        <v>229</v>
      </c>
      <c r="AH16" s="79"/>
      <c r="AI16" s="32" t="s">
        <v>229</v>
      </c>
      <c r="AJ16" s="118" t="s">
        <v>229</v>
      </c>
    </row>
    <row r="17" spans="1:36" ht="17.25" thickBot="1" x14ac:dyDescent="0.35">
      <c r="A17" s="144"/>
      <c r="B17" s="12">
        <v>361</v>
      </c>
      <c r="C17" s="35" t="s">
        <v>73</v>
      </c>
      <c r="D17" s="6" t="s">
        <v>30</v>
      </c>
      <c r="E17" s="98"/>
      <c r="F17" s="99"/>
      <c r="G17" s="100"/>
      <c r="H17" s="101"/>
      <c r="I17" s="102" t="str" cm="1">
        <f t="array" aca="1" ref="I17" ca="1">INDIRECT(D17&amp;"!$I$5")</f>
        <v>X</v>
      </c>
      <c r="J17" s="103"/>
      <c r="K17" s="104" t="str">
        <f t="shared" si="0"/>
        <v>X</v>
      </c>
      <c r="L17" s="105" t="str">
        <f t="shared" si="1"/>
        <v>X</v>
      </c>
      <c r="M17" s="105" t="str">
        <f t="shared" si="2"/>
        <v>X</v>
      </c>
      <c r="N17" s="105" t="str">
        <f t="shared" si="3"/>
        <v>X</v>
      </c>
      <c r="O17" s="105" t="str">
        <f t="shared" si="4"/>
        <v>X</v>
      </c>
      <c r="P17" s="105" t="str">
        <f t="shared" si="5"/>
        <v>X</v>
      </c>
      <c r="Q17" s="106" t="str">
        <f>IFERROR(VLOOKUP(CONCATENATE($K$2,$B17,$C17,Q$4),#REF!,2,FALSE),"")</f>
        <v/>
      </c>
      <c r="R17" s="106" t="str">
        <f>IFERROR(VLOOKUP(CONCATENATE($K$2,$B17,$C17,R$4),#REF!,2,FALSE),"")</f>
        <v/>
      </c>
      <c r="S17" s="106" t="str">
        <f>IFERROR(VLOOKUP(CONCATENATE($K$2,$B17,$C17,S$4),#REF!,2,FALSE),"")</f>
        <v/>
      </c>
      <c r="T17" s="106" t="str">
        <f>IFERROR(VLOOKUP(CONCATENATE($K$2,$B17,$C17,T$4),#REF!,2,FALSE),"")</f>
        <v/>
      </c>
      <c r="U17" s="106" t="str">
        <f>IFERROR(VLOOKUP(CONCATENATE($K$2,$B17,$C17,U$4),#REF!,2,FALSE),"")</f>
        <v/>
      </c>
      <c r="V17" s="106" t="str">
        <f>IFERROR(VLOOKUP(CONCATENATE($K$2,$B17,$C17,V$4),#REF!,2,FALSE),"")</f>
        <v/>
      </c>
      <c r="W17" s="106" t="str">
        <f>IFERROR(VLOOKUP(CONCATENATE($K$2,$B17,$C17,W$4),#REF!,2,FALSE),"")</f>
        <v/>
      </c>
      <c r="X17" s="104" t="str">
        <f t="shared" si="8"/>
        <v>X</v>
      </c>
      <c r="Y17" s="105" t="str">
        <f t="shared" si="6"/>
        <v>X</v>
      </c>
      <c r="Z17" s="105" t="str">
        <f t="shared" si="7"/>
        <v>X</v>
      </c>
      <c r="AA17" s="107" t="str">
        <f>IFERROR(VLOOKUP(CONCATENATE($X$2,$B17,$C17,AA$4),#REF!,2,FALSE),"")</f>
        <v/>
      </c>
      <c r="AB17" s="107" t="str">
        <f>IFERROR(VLOOKUP(CONCATENATE($X$2,$B17,$C17,AB$4),#REF!,2,FALSE),"")</f>
        <v/>
      </c>
      <c r="AC17" s="108" t="str">
        <f>IFERROR(VLOOKUP(CONCATENATE($X$2,$B17,$C17,AC$4),#REF!,2,FALSE),"")</f>
        <v/>
      </c>
      <c r="AE17" s="104" t="s">
        <v>229</v>
      </c>
      <c r="AF17" s="105" t="s">
        <v>229</v>
      </c>
      <c r="AG17" s="105" t="s">
        <v>229</v>
      </c>
      <c r="AH17" s="105" t="s">
        <v>229</v>
      </c>
      <c r="AI17" s="105" t="s">
        <v>229</v>
      </c>
      <c r="AJ17" s="121"/>
    </row>
    <row r="18" spans="1:36" x14ac:dyDescent="0.3">
      <c r="V18" s="16"/>
      <c r="W18" s="16"/>
    </row>
    <row r="19" spans="1:36" x14ac:dyDescent="0.3">
      <c r="B19" s="2" t="s">
        <v>9</v>
      </c>
      <c r="C19" s="8"/>
      <c r="F19" s="8"/>
      <c r="I19" s="2"/>
      <c r="L19" s="8"/>
      <c r="V19" s="16"/>
      <c r="W19" s="16"/>
    </row>
    <row r="20" spans="1:36" x14ac:dyDescent="0.3">
      <c r="B20" s="8" t="s">
        <v>32</v>
      </c>
      <c r="C20" s="8"/>
      <c r="I20" s="8"/>
      <c r="S20" s="16"/>
      <c r="T20" s="70"/>
      <c r="U20" s="70"/>
      <c r="V20" s="70"/>
      <c r="W20" s="70"/>
      <c r="X20" s="16"/>
      <c r="Y20" s="16"/>
    </row>
    <row r="21" spans="1:36" x14ac:dyDescent="0.3">
      <c r="B21" s="17" t="s">
        <v>10</v>
      </c>
      <c r="C21" s="18" t="s">
        <v>14</v>
      </c>
      <c r="D21" s="18"/>
      <c r="E21" s="18"/>
      <c r="I21" s="17"/>
      <c r="J21" s="18"/>
      <c r="K21" s="18"/>
      <c r="S21" s="16"/>
      <c r="T21" s="71"/>
      <c r="U21" s="71"/>
      <c r="V21" s="71"/>
      <c r="W21" s="71"/>
      <c r="X21" s="16"/>
      <c r="Y21" s="16"/>
    </row>
    <row r="22" spans="1:36" x14ac:dyDescent="0.3">
      <c r="B22" s="17" t="s">
        <v>11</v>
      </c>
      <c r="C22" s="18" t="s">
        <v>33</v>
      </c>
      <c r="D22" s="18"/>
      <c r="E22" s="18"/>
      <c r="I22" s="17"/>
      <c r="J22" s="18"/>
      <c r="K22" s="18"/>
      <c r="S22" s="16"/>
      <c r="T22" s="16"/>
      <c r="U22" s="16"/>
      <c r="V22" s="16"/>
      <c r="W22" s="16"/>
      <c r="X22" s="16"/>
      <c r="Y22" s="16"/>
    </row>
    <row r="23" spans="1:36" x14ac:dyDescent="0.3">
      <c r="B23" s="17" t="s">
        <v>12</v>
      </c>
      <c r="C23" s="18" t="s">
        <v>34</v>
      </c>
      <c r="D23" s="18"/>
      <c r="E23" s="18"/>
      <c r="I23" s="17"/>
      <c r="J23" s="18"/>
      <c r="K23" s="18"/>
      <c r="S23" s="16"/>
      <c r="T23" s="16"/>
      <c r="U23" s="16"/>
      <c r="V23" s="16"/>
      <c r="W23" s="16"/>
      <c r="X23" s="16"/>
      <c r="Y23" s="16"/>
    </row>
    <row r="24" spans="1:36" x14ac:dyDescent="0.3">
      <c r="B24" s="17"/>
      <c r="C24" s="18"/>
      <c r="D24" s="18"/>
      <c r="E24" s="18"/>
      <c r="I24" s="17"/>
      <c r="J24" s="18"/>
      <c r="K24" s="18"/>
    </row>
    <row r="25" spans="1:36" x14ac:dyDescent="0.3">
      <c r="B25" s="8" t="s">
        <v>35</v>
      </c>
      <c r="C25" s="8"/>
      <c r="D25" s="18"/>
      <c r="E25" s="18"/>
      <c r="I25" s="8"/>
      <c r="J25" s="18"/>
      <c r="K25" s="18"/>
    </row>
    <row r="26" spans="1:36" x14ac:dyDescent="0.3">
      <c r="B26" s="17" t="s">
        <v>10</v>
      </c>
      <c r="C26" s="18" t="s">
        <v>14</v>
      </c>
      <c r="D26" s="18"/>
      <c r="E26" s="18"/>
      <c r="I26" s="17"/>
      <c r="J26" s="18"/>
      <c r="K26" s="18"/>
    </row>
    <row r="27" spans="1:36" x14ac:dyDescent="0.3">
      <c r="B27" s="8"/>
      <c r="C27" s="8"/>
      <c r="D27" s="18"/>
      <c r="E27" s="18"/>
      <c r="I27" s="8"/>
      <c r="J27" s="18"/>
      <c r="K27" s="18"/>
    </row>
    <row r="28" spans="1:36" x14ac:dyDescent="0.3">
      <c r="B28" s="8" t="s">
        <v>36</v>
      </c>
      <c r="C28" s="8"/>
      <c r="I28" s="8"/>
    </row>
    <row r="29" spans="1:36" x14ac:dyDescent="0.3">
      <c r="B29" s="17" t="s">
        <v>10</v>
      </c>
      <c r="C29" s="18" t="s">
        <v>14</v>
      </c>
      <c r="I29" s="17"/>
    </row>
    <row r="31" spans="1:36" x14ac:dyDescent="0.3">
      <c r="B31" s="8" t="s">
        <v>37</v>
      </c>
      <c r="C31" s="8"/>
      <c r="I31" s="8"/>
    </row>
    <row r="32" spans="1:36" x14ac:dyDescent="0.3">
      <c r="B32" s="17" t="s">
        <v>10</v>
      </c>
      <c r="C32" s="8" t="s">
        <v>116</v>
      </c>
      <c r="I32" s="17"/>
    </row>
    <row r="34" spans="2:9" x14ac:dyDescent="0.3">
      <c r="B34" s="8" t="s">
        <v>38</v>
      </c>
      <c r="C34" s="8"/>
      <c r="I34" s="8"/>
    </row>
    <row r="35" spans="2:9" x14ac:dyDescent="0.3">
      <c r="B35" s="17" t="s">
        <v>10</v>
      </c>
      <c r="C35" s="18" t="s">
        <v>39</v>
      </c>
      <c r="I35" s="17"/>
    </row>
    <row r="36" spans="2:9" x14ac:dyDescent="0.3">
      <c r="B36" s="17" t="s">
        <v>11</v>
      </c>
      <c r="C36" s="18" t="s">
        <v>40</v>
      </c>
      <c r="I36" s="17"/>
    </row>
    <row r="37" spans="2:9" x14ac:dyDescent="0.3">
      <c r="B37" s="17" t="s">
        <v>12</v>
      </c>
      <c r="C37" s="18" t="s">
        <v>44</v>
      </c>
      <c r="I37" s="17"/>
    </row>
    <row r="38" spans="2:9" x14ac:dyDescent="0.3">
      <c r="B38" s="17" t="s">
        <v>13</v>
      </c>
      <c r="C38" s="18" t="s">
        <v>46</v>
      </c>
      <c r="I38" s="17"/>
    </row>
    <row r="39" spans="2:9" x14ac:dyDescent="0.3">
      <c r="B39" s="17" t="s">
        <v>43</v>
      </c>
      <c r="C39" s="18" t="s">
        <v>41</v>
      </c>
      <c r="I39" s="17"/>
    </row>
    <row r="40" spans="2:9" x14ac:dyDescent="0.3">
      <c r="B40" s="17" t="s">
        <v>45</v>
      </c>
      <c r="C40" s="18" t="s">
        <v>42</v>
      </c>
      <c r="I40" s="17"/>
    </row>
    <row r="41" spans="2:9" x14ac:dyDescent="0.3">
      <c r="B41" s="17"/>
      <c r="C41" s="17"/>
      <c r="D41" s="18"/>
    </row>
    <row r="42" spans="2:9" x14ac:dyDescent="0.3">
      <c r="B42" s="8" t="s">
        <v>59</v>
      </c>
      <c r="C42" s="8"/>
    </row>
    <row r="43" spans="2:9" x14ac:dyDescent="0.3">
      <c r="B43" s="17" t="s">
        <v>10</v>
      </c>
      <c r="C43" s="18" t="s">
        <v>39</v>
      </c>
    </row>
    <row r="44" spans="2:9" x14ac:dyDescent="0.3">
      <c r="B44" s="17" t="s">
        <v>11</v>
      </c>
      <c r="C44" s="18" t="s">
        <v>88</v>
      </c>
      <c r="D44" s="18"/>
    </row>
    <row r="45" spans="2:9" x14ac:dyDescent="0.3">
      <c r="B45" s="17" t="s">
        <v>12</v>
      </c>
      <c r="C45" s="18" t="s">
        <v>89</v>
      </c>
      <c r="D45" s="18"/>
    </row>
  </sheetData>
  <mergeCells count="30">
    <mergeCell ref="AE3:AJ3"/>
    <mergeCell ref="A15:A17"/>
    <mergeCell ref="E2:G2"/>
    <mergeCell ref="E3:G3"/>
    <mergeCell ref="H4:H5"/>
    <mergeCell ref="F4:F5"/>
    <mergeCell ref="E4:E5"/>
    <mergeCell ref="G4:G5"/>
    <mergeCell ref="A6:A14"/>
    <mergeCell ref="I4:I5"/>
    <mergeCell ref="J4:J5"/>
    <mergeCell ref="K3:W3"/>
    <mergeCell ref="X2:AC2"/>
    <mergeCell ref="X3:AC3"/>
    <mergeCell ref="K2:W2"/>
    <mergeCell ref="N4:N5"/>
    <mergeCell ref="K4:K5"/>
    <mergeCell ref="L4:L5"/>
    <mergeCell ref="M4:M5"/>
    <mergeCell ref="O4:O5"/>
    <mergeCell ref="P4:P5"/>
    <mergeCell ref="AG4:AG5"/>
    <mergeCell ref="AH4:AH5"/>
    <mergeCell ref="AI4:AI5"/>
    <mergeCell ref="AJ4:AJ5"/>
    <mergeCell ref="X4:X5"/>
    <mergeCell ref="Z4:Z5"/>
    <mergeCell ref="AF4:AF5"/>
    <mergeCell ref="AE4:AE5"/>
    <mergeCell ref="Y4:Y5"/>
  </mergeCells>
  <phoneticPr fontId="2" type="noConversion"/>
  <conditionalFormatting sqref="E6:P17">
    <cfRule type="cellIs" dxfId="29" priority="81" operator="equal">
      <formula>"X"</formula>
    </cfRule>
    <cfRule type="cellIs" dxfId="28" priority="82" operator="equal">
      <formula>"O"</formula>
    </cfRule>
  </conditionalFormatting>
  <conditionalFormatting sqref="AE17:AI17 AE16:AJ16 AJ12:AJ14 AE11:AH14 AE9:AI10 AE8:AJ8 AE6:AI7">
    <cfRule type="cellIs" dxfId="27" priority="47" operator="equal">
      <formula>"X"</formula>
    </cfRule>
    <cfRule type="cellIs" dxfId="26" priority="48" operator="equal">
      <formula>"O"</formula>
    </cfRule>
  </conditionalFormatting>
  <conditionalFormatting sqref="AF6">
    <cfRule type="cellIs" dxfId="25" priority="45" operator="equal">
      <formula>"X"</formula>
    </cfRule>
    <cfRule type="cellIs" dxfId="24" priority="46" operator="equal">
      <formula>"O"</formula>
    </cfRule>
  </conditionalFormatting>
  <conditionalFormatting sqref="AG6:AI6 AI7:AI8">
    <cfRule type="cellIs" dxfId="23" priority="43" operator="equal">
      <formula>"X"</formula>
    </cfRule>
    <cfRule type="cellIs" dxfId="22" priority="44" operator="equal">
      <formula>"O"</formula>
    </cfRule>
  </conditionalFormatting>
  <conditionalFormatting sqref="AE7:AH11">
    <cfRule type="cellIs" dxfId="21" priority="41" operator="equal">
      <formula>"X"</formula>
    </cfRule>
    <cfRule type="cellIs" dxfId="20" priority="42" operator="equal">
      <formula>"O"</formula>
    </cfRule>
  </conditionalFormatting>
  <conditionalFormatting sqref="AI9">
    <cfRule type="cellIs" dxfId="19" priority="39" operator="equal">
      <formula>"X"</formula>
    </cfRule>
    <cfRule type="cellIs" dxfId="18" priority="40" operator="equal">
      <formula>"O"</formula>
    </cfRule>
  </conditionalFormatting>
  <conditionalFormatting sqref="AJ8">
    <cfRule type="cellIs" dxfId="17" priority="37" operator="equal">
      <formula>"X"</formula>
    </cfRule>
    <cfRule type="cellIs" dxfId="16" priority="38" operator="equal">
      <formula>"O"</formula>
    </cfRule>
  </conditionalFormatting>
  <conditionalFormatting sqref="AJ12:AJ14">
    <cfRule type="cellIs" dxfId="15" priority="31" operator="equal">
      <formula>"X"</formula>
    </cfRule>
    <cfRule type="cellIs" dxfId="14" priority="32" operator="equal">
      <formula>"O"</formula>
    </cfRule>
  </conditionalFormatting>
  <conditionalFormatting sqref="AE16:AI17">
    <cfRule type="cellIs" dxfId="13" priority="29" operator="equal">
      <formula>"X"</formula>
    </cfRule>
    <cfRule type="cellIs" dxfId="12" priority="30" operator="equal">
      <formula>"O"</formula>
    </cfRule>
  </conditionalFormatting>
  <conditionalFormatting sqref="AI14">
    <cfRule type="cellIs" dxfId="11" priority="17" operator="equal">
      <formula>"X"</formula>
    </cfRule>
    <cfRule type="cellIs" dxfId="10" priority="18" operator="equal">
      <formula>"O"</formula>
    </cfRule>
  </conditionalFormatting>
  <conditionalFormatting sqref="X6:Z17">
    <cfRule type="cellIs" dxfId="9" priority="11" operator="equal">
      <formula>"X"</formula>
    </cfRule>
    <cfRule type="cellIs" dxfId="8" priority="12" operator="equal">
      <formula>"O"</formula>
    </cfRule>
  </conditionalFormatting>
  <conditionalFormatting sqref="AE15">
    <cfRule type="cellIs" dxfId="7" priority="9" operator="equal">
      <formula>"X"</formula>
    </cfRule>
    <cfRule type="cellIs" dxfId="6" priority="10" operator="equal">
      <formula>"O"</formula>
    </cfRule>
  </conditionalFormatting>
  <conditionalFormatting sqref="AI13">
    <cfRule type="cellIs" dxfId="5" priority="7" operator="equal">
      <formula>"X"</formula>
    </cfRule>
    <cfRule type="cellIs" dxfId="4" priority="8" operator="equal">
      <formula>"O"</formula>
    </cfRule>
  </conditionalFormatting>
  <conditionalFormatting sqref="AI12">
    <cfRule type="cellIs" dxfId="3" priority="3" operator="equal">
      <formula>"X"</formula>
    </cfRule>
    <cfRule type="cellIs" dxfId="2" priority="4" operator="equal">
      <formula>"O"</formula>
    </cfRule>
  </conditionalFormatting>
  <conditionalFormatting sqref="AI11">
    <cfRule type="cellIs" dxfId="1" priority="1" operator="equal">
      <formula>"X"</formula>
    </cfRule>
    <cfRule type="cellIs" dxfId="0" priority="2" operator="equal">
      <formula>"O"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C5F8-5A23-418F-9906-46B1D833197D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C2" sqref="C2:C4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9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91</v>
      </c>
      <c r="B5" s="65">
        <v>980001</v>
      </c>
      <c r="C5" s="73" t="s">
        <v>104</v>
      </c>
      <c r="D5" s="72"/>
      <c r="E5" s="72"/>
      <c r="F5" s="72"/>
      <c r="G5" s="113" t="s">
        <v>134</v>
      </c>
      <c r="H5" s="114" t="s">
        <v>133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91</v>
      </c>
      <c r="B6" s="65">
        <v>980001</v>
      </c>
      <c r="C6" s="73" t="s">
        <v>101</v>
      </c>
      <c r="D6" s="72"/>
      <c r="E6" s="72"/>
      <c r="F6" s="72"/>
      <c r="G6" s="113" t="s">
        <v>138</v>
      </c>
      <c r="H6" s="114" t="s">
        <v>137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83</v>
      </c>
      <c r="B7" s="65">
        <v>980001</v>
      </c>
      <c r="C7" s="73" t="s">
        <v>105</v>
      </c>
      <c r="D7" s="72"/>
      <c r="E7" s="72"/>
      <c r="F7" s="72"/>
      <c r="G7" s="113" t="s">
        <v>136</v>
      </c>
      <c r="H7" s="114" t="s">
        <v>135</v>
      </c>
      <c r="I7" s="96" t="str">
        <f t="shared" si="0"/>
        <v>O</v>
      </c>
    </row>
    <row r="8" spans="1:9" s="40" customFormat="1" ht="45" customHeight="1" x14ac:dyDescent="0.3">
      <c r="A8" s="41" t="s">
        <v>91</v>
      </c>
      <c r="B8" s="65">
        <v>980002</v>
      </c>
      <c r="C8" s="73" t="s">
        <v>106</v>
      </c>
      <c r="D8" s="72"/>
      <c r="E8" s="72"/>
      <c r="F8" s="72"/>
      <c r="G8" s="113" t="s">
        <v>140</v>
      </c>
      <c r="H8" s="114" t="s">
        <v>139</v>
      </c>
      <c r="I8" s="96" t="str">
        <f t="shared" si="0"/>
        <v>O</v>
      </c>
    </row>
    <row r="9" spans="1:9" s="40" customFormat="1" ht="45" customHeight="1" x14ac:dyDescent="0.3">
      <c r="A9" s="41" t="s">
        <v>91</v>
      </c>
      <c r="B9" s="65">
        <v>980003</v>
      </c>
      <c r="C9" s="73" t="s">
        <v>107</v>
      </c>
      <c r="D9" s="72"/>
      <c r="E9" s="72"/>
      <c r="F9" s="72"/>
      <c r="G9" s="113" t="s">
        <v>267</v>
      </c>
      <c r="H9" s="114" t="s">
        <v>266</v>
      </c>
      <c r="I9" s="96" t="str">
        <f t="shared" si="0"/>
        <v>O</v>
      </c>
    </row>
    <row r="10" spans="1:9" s="40" customFormat="1" ht="45" customHeight="1" x14ac:dyDescent="0.3">
      <c r="A10" s="41" t="s">
        <v>91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269</v>
      </c>
      <c r="H10" s="116" t="s">
        <v>268</v>
      </c>
      <c r="I10" s="97" t="str">
        <f t="shared" si="0"/>
        <v>O</v>
      </c>
    </row>
    <row r="11" spans="1:9" s="40" customFormat="1" ht="45" customHeight="1" x14ac:dyDescent="0.3">
      <c r="A11" s="41" t="s">
        <v>91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250</v>
      </c>
      <c r="H11" s="116" t="s">
        <v>249</v>
      </c>
      <c r="I11" s="97" t="str">
        <f t="shared" si="0"/>
        <v>O</v>
      </c>
    </row>
    <row r="12" spans="1:9" s="40" customFormat="1" ht="45" customHeight="1" x14ac:dyDescent="0.3">
      <c r="A12" s="41" t="s">
        <v>91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245</v>
      </c>
      <c r="H12" s="116" t="s">
        <v>246</v>
      </c>
      <c r="I12" s="97" t="str">
        <f t="shared" si="0"/>
        <v>O</v>
      </c>
    </row>
    <row r="13" spans="1:9" s="40" customFormat="1" ht="45" customHeight="1" x14ac:dyDescent="0.3">
      <c r="A13" s="41" t="s">
        <v>91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248</v>
      </c>
      <c r="H13" s="116" t="s">
        <v>247</v>
      </c>
      <c r="I13" s="97" t="str">
        <f t="shared" si="0"/>
        <v>O</v>
      </c>
    </row>
    <row r="14" spans="1:9" s="40" customFormat="1" ht="45" customHeight="1" x14ac:dyDescent="0.3">
      <c r="A14" s="41" t="s">
        <v>91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 t="s">
        <v>271</v>
      </c>
      <c r="H14" s="116" t="s">
        <v>270</v>
      </c>
      <c r="I14" s="97" t="str">
        <f t="shared" si="0"/>
        <v>O</v>
      </c>
    </row>
  </sheetData>
  <mergeCells count="9">
    <mergeCell ref="A2:A4"/>
    <mergeCell ref="B2:B4"/>
    <mergeCell ref="C2:C4"/>
    <mergeCell ref="I2:I4"/>
    <mergeCell ref="D2:D4"/>
    <mergeCell ref="E2:E4"/>
    <mergeCell ref="F2:F4"/>
    <mergeCell ref="G2:G4"/>
    <mergeCell ref="H2:H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5A73-47D6-45D0-A703-1935262AF7DC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L31" sqref="L31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93</v>
      </c>
      <c r="B5" s="65">
        <v>980001</v>
      </c>
      <c r="C5" s="73" t="s">
        <v>104</v>
      </c>
      <c r="D5" s="72"/>
      <c r="E5" s="72"/>
      <c r="F5" s="72"/>
      <c r="G5" s="113" t="s">
        <v>143</v>
      </c>
      <c r="H5" s="114" t="s">
        <v>144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93</v>
      </c>
      <c r="B6" s="65">
        <v>980001</v>
      </c>
      <c r="C6" s="73" t="s">
        <v>101</v>
      </c>
      <c r="D6" s="72"/>
      <c r="E6" s="72"/>
      <c r="F6" s="72"/>
      <c r="G6" s="122"/>
      <c r="H6" s="122"/>
      <c r="I6" s="123"/>
    </row>
    <row r="7" spans="1:9" s="40" customFormat="1" ht="45" customHeight="1" x14ac:dyDescent="0.3">
      <c r="A7" s="41" t="s">
        <v>93</v>
      </c>
      <c r="B7" s="65">
        <v>980001</v>
      </c>
      <c r="C7" s="73" t="s">
        <v>105</v>
      </c>
      <c r="D7" s="72"/>
      <c r="E7" s="72"/>
      <c r="F7" s="72"/>
      <c r="G7" s="113" t="s">
        <v>145</v>
      </c>
      <c r="H7" s="114" t="s">
        <v>146</v>
      </c>
      <c r="I7" s="96" t="str">
        <f t="shared" ref="I7:I14" si="0">IF(NOT(ISBLANK(G7))*NOT(ISBLANK(H7))=1, "O", "X")</f>
        <v>O</v>
      </c>
    </row>
    <row r="8" spans="1:9" s="40" customFormat="1" ht="45" customHeight="1" x14ac:dyDescent="0.3">
      <c r="A8" s="41" t="s">
        <v>93</v>
      </c>
      <c r="B8" s="65">
        <v>980002</v>
      </c>
      <c r="C8" s="73" t="s">
        <v>106</v>
      </c>
      <c r="D8" s="72"/>
      <c r="E8" s="72"/>
      <c r="F8" s="72"/>
      <c r="G8" s="113" t="s">
        <v>147</v>
      </c>
      <c r="H8" s="114" t="s">
        <v>148</v>
      </c>
      <c r="I8" s="96" t="str">
        <f t="shared" si="0"/>
        <v>O</v>
      </c>
    </row>
    <row r="9" spans="1:9" s="40" customFormat="1" ht="45" customHeight="1" x14ac:dyDescent="0.3">
      <c r="A9" s="41" t="s">
        <v>93</v>
      </c>
      <c r="B9" s="65">
        <v>980003</v>
      </c>
      <c r="C9" s="73" t="s">
        <v>107</v>
      </c>
      <c r="D9" s="72"/>
      <c r="E9" s="72"/>
      <c r="F9" s="72"/>
      <c r="G9" s="113" t="s">
        <v>150</v>
      </c>
      <c r="H9" s="114" t="s">
        <v>149</v>
      </c>
      <c r="I9" s="96" t="str">
        <f t="shared" si="0"/>
        <v>O</v>
      </c>
    </row>
    <row r="10" spans="1:9" s="40" customFormat="1" ht="45" customHeight="1" x14ac:dyDescent="0.3">
      <c r="A10" s="41" t="s">
        <v>93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198</v>
      </c>
      <c r="H10" s="116" t="s">
        <v>199</v>
      </c>
      <c r="I10" s="97" t="str">
        <f t="shared" si="0"/>
        <v>O</v>
      </c>
    </row>
    <row r="11" spans="1:9" s="40" customFormat="1" ht="45" customHeight="1" x14ac:dyDescent="0.3">
      <c r="A11" s="41" t="s">
        <v>93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201</v>
      </c>
      <c r="H11" s="116" t="s">
        <v>200</v>
      </c>
      <c r="I11" s="97" t="str">
        <f t="shared" si="0"/>
        <v>O</v>
      </c>
    </row>
    <row r="12" spans="1:9" s="40" customFormat="1" ht="45" customHeight="1" x14ac:dyDescent="0.3">
      <c r="A12" s="41" t="s">
        <v>93</v>
      </c>
      <c r="B12" s="45">
        <v>980004</v>
      </c>
      <c r="C12" s="74" t="s">
        <v>263</v>
      </c>
      <c r="D12" s="42" t="s">
        <v>81</v>
      </c>
      <c r="E12" s="42" t="s">
        <v>122</v>
      </c>
      <c r="F12" s="69"/>
      <c r="G12" s="115" t="s">
        <v>254</v>
      </c>
      <c r="H12" s="116" t="s">
        <v>253</v>
      </c>
      <c r="I12" s="97" t="str">
        <f t="shared" si="0"/>
        <v>O</v>
      </c>
    </row>
    <row r="13" spans="1:9" s="40" customFormat="1" ht="45" customHeight="1" x14ac:dyDescent="0.3">
      <c r="A13" s="41" t="s">
        <v>93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280</v>
      </c>
      <c r="H13" s="116" t="s">
        <v>281</v>
      </c>
      <c r="I13" s="97" t="str">
        <f t="shared" si="0"/>
        <v>O</v>
      </c>
    </row>
    <row r="14" spans="1:9" s="40" customFormat="1" ht="45" customHeight="1" x14ac:dyDescent="0.3">
      <c r="A14" s="41" t="s">
        <v>93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 t="s">
        <v>252</v>
      </c>
      <c r="H14" s="116" t="s">
        <v>251</v>
      </c>
      <c r="I14" s="97" t="str">
        <f t="shared" si="0"/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6DF0-CC91-4C06-ACD8-A1FAA6179958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M31" sqref="M31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92</v>
      </c>
      <c r="B5" s="65">
        <v>980001</v>
      </c>
      <c r="C5" s="73" t="s">
        <v>104</v>
      </c>
      <c r="D5" s="72"/>
      <c r="E5" s="72"/>
      <c r="F5" s="72"/>
      <c r="G5" s="113" t="s">
        <v>151</v>
      </c>
      <c r="H5" s="114" t="s">
        <v>152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92</v>
      </c>
      <c r="B6" s="65">
        <v>980001</v>
      </c>
      <c r="C6" s="73" t="s">
        <v>101</v>
      </c>
      <c r="D6" s="72"/>
      <c r="E6" s="72"/>
      <c r="F6" s="72"/>
      <c r="G6" s="113" t="s">
        <v>153</v>
      </c>
      <c r="H6" s="114" t="s">
        <v>154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92</v>
      </c>
      <c r="B7" s="65">
        <v>980001</v>
      </c>
      <c r="C7" s="73" t="s">
        <v>105</v>
      </c>
      <c r="D7" s="72"/>
      <c r="E7" s="72"/>
      <c r="F7" s="72"/>
      <c r="G7" s="113" t="s">
        <v>238</v>
      </c>
      <c r="H7" s="114" t="s">
        <v>237</v>
      </c>
      <c r="I7" s="96" t="str">
        <f t="shared" si="0"/>
        <v>O</v>
      </c>
    </row>
    <row r="8" spans="1:9" s="40" customFormat="1" ht="45" customHeight="1" x14ac:dyDescent="0.3">
      <c r="A8" s="41" t="s">
        <v>92</v>
      </c>
      <c r="B8" s="65">
        <v>980002</v>
      </c>
      <c r="C8" s="73" t="s">
        <v>106</v>
      </c>
      <c r="D8" s="72"/>
      <c r="E8" s="72"/>
      <c r="F8" s="72"/>
      <c r="G8" s="113" t="s">
        <v>155</v>
      </c>
      <c r="H8" s="114" t="s">
        <v>156</v>
      </c>
      <c r="I8" s="96" t="str">
        <f t="shared" si="0"/>
        <v>O</v>
      </c>
    </row>
    <row r="9" spans="1:9" s="40" customFormat="1" ht="45" customHeight="1" x14ac:dyDescent="0.3">
      <c r="A9" s="41" t="s">
        <v>92</v>
      </c>
      <c r="B9" s="65">
        <v>980003</v>
      </c>
      <c r="C9" s="73" t="s">
        <v>107</v>
      </c>
      <c r="D9" s="72"/>
      <c r="E9" s="72"/>
      <c r="F9" s="72"/>
      <c r="G9" s="113" t="s">
        <v>158</v>
      </c>
      <c r="H9" s="114" t="s">
        <v>157</v>
      </c>
      <c r="I9" s="96" t="str">
        <f t="shared" si="0"/>
        <v>O</v>
      </c>
    </row>
    <row r="10" spans="1:9" s="40" customFormat="1" ht="45" customHeight="1" x14ac:dyDescent="0.3">
      <c r="A10" s="41" t="s">
        <v>92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256</v>
      </c>
      <c r="H10" s="116" t="s">
        <v>255</v>
      </c>
      <c r="I10" s="97" t="str">
        <f t="shared" si="0"/>
        <v>O</v>
      </c>
    </row>
    <row r="11" spans="1:9" s="40" customFormat="1" ht="45" customHeight="1" x14ac:dyDescent="0.3">
      <c r="A11" s="41" t="s">
        <v>92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203</v>
      </c>
      <c r="H11" s="116" t="s">
        <v>202</v>
      </c>
      <c r="I11" s="97" t="str">
        <f t="shared" si="0"/>
        <v>O</v>
      </c>
    </row>
    <row r="12" spans="1:9" s="40" customFormat="1" ht="45" customHeight="1" x14ac:dyDescent="0.3">
      <c r="A12" s="41" t="s">
        <v>92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276</v>
      </c>
      <c r="H12" s="116" t="s">
        <v>277</v>
      </c>
      <c r="I12" s="97" t="str">
        <f t="shared" si="0"/>
        <v>O</v>
      </c>
    </row>
    <row r="13" spans="1:9" s="40" customFormat="1" ht="45" customHeight="1" x14ac:dyDescent="0.3">
      <c r="A13" s="41" t="s">
        <v>92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273</v>
      </c>
      <c r="H13" s="116" t="s">
        <v>272</v>
      </c>
      <c r="I13" s="97" t="str">
        <f t="shared" si="0"/>
        <v>O</v>
      </c>
    </row>
    <row r="14" spans="1:9" s="40" customFormat="1" ht="45" customHeight="1" x14ac:dyDescent="0.3">
      <c r="A14" s="41" t="s">
        <v>92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 t="s">
        <v>275</v>
      </c>
      <c r="H14" s="116" t="s">
        <v>274</v>
      </c>
      <c r="I14" s="97" t="str">
        <f t="shared" si="0"/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9644-378C-405A-84FC-0458AF20A6A9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P18" sqref="P18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94</v>
      </c>
      <c r="B5" s="65">
        <v>980001</v>
      </c>
      <c r="C5" s="73" t="s">
        <v>104</v>
      </c>
      <c r="D5" s="72"/>
      <c r="E5" s="72"/>
      <c r="F5" s="72"/>
      <c r="G5" s="113" t="s">
        <v>159</v>
      </c>
      <c r="H5" s="114" t="s">
        <v>160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94</v>
      </c>
      <c r="B6" s="65">
        <v>980001</v>
      </c>
      <c r="C6" s="73" t="s">
        <v>101</v>
      </c>
      <c r="D6" s="72"/>
      <c r="E6" s="72"/>
      <c r="F6" s="72"/>
      <c r="G6" s="113" t="s">
        <v>163</v>
      </c>
      <c r="H6" s="114" t="s">
        <v>164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94</v>
      </c>
      <c r="B7" s="65">
        <v>980001</v>
      </c>
      <c r="C7" s="73" t="s">
        <v>105</v>
      </c>
      <c r="D7" s="72"/>
      <c r="E7" s="72"/>
      <c r="F7" s="72"/>
      <c r="G7" s="113" t="s">
        <v>161</v>
      </c>
      <c r="H7" s="114" t="s">
        <v>162</v>
      </c>
      <c r="I7" s="96" t="str">
        <f t="shared" si="0"/>
        <v>O</v>
      </c>
    </row>
    <row r="8" spans="1:9" s="40" customFormat="1" ht="45" customHeight="1" x14ac:dyDescent="0.3">
      <c r="A8" s="41" t="s">
        <v>94</v>
      </c>
      <c r="B8" s="65">
        <v>980002</v>
      </c>
      <c r="C8" s="73" t="s">
        <v>106</v>
      </c>
      <c r="D8" s="72"/>
      <c r="E8" s="72"/>
      <c r="F8" s="72"/>
      <c r="G8" s="113" t="s">
        <v>166</v>
      </c>
      <c r="H8" s="114" t="s">
        <v>165</v>
      </c>
      <c r="I8" s="96" t="str">
        <f t="shared" si="0"/>
        <v>O</v>
      </c>
    </row>
    <row r="9" spans="1:9" s="40" customFormat="1" ht="45" customHeight="1" x14ac:dyDescent="0.3">
      <c r="A9" s="41" t="s">
        <v>94</v>
      </c>
      <c r="B9" s="65">
        <v>980003</v>
      </c>
      <c r="C9" s="73" t="s">
        <v>107</v>
      </c>
      <c r="D9" s="72"/>
      <c r="E9" s="72"/>
      <c r="F9" s="72"/>
      <c r="G9" s="113" t="s">
        <v>168</v>
      </c>
      <c r="H9" s="114" t="s">
        <v>167</v>
      </c>
      <c r="I9" s="96" t="str">
        <f t="shared" si="0"/>
        <v>O</v>
      </c>
    </row>
    <row r="10" spans="1:9" s="40" customFormat="1" ht="45" customHeight="1" x14ac:dyDescent="0.3">
      <c r="A10" s="41" t="s">
        <v>94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204</v>
      </c>
      <c r="H10" s="116" t="s">
        <v>205</v>
      </c>
      <c r="I10" s="97" t="str">
        <f t="shared" si="0"/>
        <v>O</v>
      </c>
    </row>
    <row r="11" spans="1:9" s="40" customFormat="1" ht="45" customHeight="1" x14ac:dyDescent="0.3">
      <c r="A11" s="41" t="s">
        <v>94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207</v>
      </c>
      <c r="H11" s="116" t="s">
        <v>206</v>
      </c>
      <c r="I11" s="97" t="str">
        <f t="shared" si="0"/>
        <v>O</v>
      </c>
    </row>
    <row r="12" spans="1:9" s="40" customFormat="1" ht="45" customHeight="1" x14ac:dyDescent="0.3">
      <c r="A12" s="41" t="s">
        <v>94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208</v>
      </c>
      <c r="H12" s="116" t="s">
        <v>209</v>
      </c>
      <c r="I12" s="97" t="str">
        <f t="shared" si="0"/>
        <v>O</v>
      </c>
    </row>
    <row r="13" spans="1:9" s="40" customFormat="1" ht="45" customHeight="1" x14ac:dyDescent="0.3">
      <c r="A13" s="41" t="s">
        <v>94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279</v>
      </c>
      <c r="H13" s="116" t="s">
        <v>278</v>
      </c>
      <c r="I13" s="97" t="str">
        <f t="shared" si="0"/>
        <v>O</v>
      </c>
    </row>
    <row r="14" spans="1:9" s="40" customFormat="1" ht="45" customHeight="1" x14ac:dyDescent="0.3">
      <c r="A14" s="41" t="s">
        <v>94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 t="s">
        <v>210</v>
      </c>
      <c r="H14" s="116" t="s">
        <v>227</v>
      </c>
      <c r="I14" s="97" t="str">
        <f t="shared" si="0"/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5279-6267-46F7-BA7F-681125235E31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G13" sqref="G13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95</v>
      </c>
      <c r="B5" s="65">
        <v>980001</v>
      </c>
      <c r="C5" s="73" t="s">
        <v>104</v>
      </c>
      <c r="D5" s="72"/>
      <c r="E5" s="72"/>
      <c r="F5" s="72"/>
      <c r="G5" s="113" t="s">
        <v>169</v>
      </c>
      <c r="H5" s="114" t="s">
        <v>170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95</v>
      </c>
      <c r="B6" s="65">
        <v>980001</v>
      </c>
      <c r="C6" s="73" t="s">
        <v>101</v>
      </c>
      <c r="D6" s="72"/>
      <c r="E6" s="72"/>
      <c r="F6" s="72"/>
      <c r="G6" s="113" t="s">
        <v>265</v>
      </c>
      <c r="H6" s="114" t="s">
        <v>264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95</v>
      </c>
      <c r="B7" s="65">
        <v>980001</v>
      </c>
      <c r="C7" s="73" t="s">
        <v>105</v>
      </c>
      <c r="D7" s="72"/>
      <c r="E7" s="72"/>
      <c r="F7" s="72"/>
      <c r="G7" s="113" t="s">
        <v>172</v>
      </c>
      <c r="H7" s="114" t="s">
        <v>171</v>
      </c>
      <c r="I7" s="96" t="str">
        <f t="shared" si="0"/>
        <v>O</v>
      </c>
    </row>
    <row r="8" spans="1:9" s="40" customFormat="1" ht="45" customHeight="1" x14ac:dyDescent="0.3">
      <c r="A8" s="41" t="s">
        <v>95</v>
      </c>
      <c r="B8" s="65">
        <v>980002</v>
      </c>
      <c r="C8" s="73" t="s">
        <v>106</v>
      </c>
      <c r="D8" s="72"/>
      <c r="E8" s="72"/>
      <c r="F8" s="72"/>
      <c r="G8" s="113" t="s">
        <v>173</v>
      </c>
      <c r="H8" s="114" t="s">
        <v>174</v>
      </c>
      <c r="I8" s="96" t="str">
        <f t="shared" si="0"/>
        <v>O</v>
      </c>
    </row>
    <row r="9" spans="1:9" s="40" customFormat="1" ht="45" customHeight="1" x14ac:dyDescent="0.3">
      <c r="A9" s="41" t="s">
        <v>95</v>
      </c>
      <c r="B9" s="65">
        <v>980003</v>
      </c>
      <c r="C9" s="73" t="s">
        <v>107</v>
      </c>
      <c r="D9" s="72"/>
      <c r="E9" s="72"/>
      <c r="F9" s="72"/>
      <c r="G9" s="113" t="s">
        <v>176</v>
      </c>
      <c r="H9" s="114" t="s">
        <v>175</v>
      </c>
      <c r="I9" s="96" t="str">
        <f t="shared" si="0"/>
        <v>O</v>
      </c>
    </row>
    <row r="10" spans="1:9" s="40" customFormat="1" ht="45" customHeight="1" x14ac:dyDescent="0.3">
      <c r="A10" s="41" t="s">
        <v>95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258</v>
      </c>
      <c r="H10" s="116" t="s">
        <v>257</v>
      </c>
      <c r="I10" s="97" t="str">
        <f t="shared" si="0"/>
        <v>O</v>
      </c>
    </row>
    <row r="11" spans="1:9" s="40" customFormat="1" ht="45" customHeight="1" x14ac:dyDescent="0.3">
      <c r="A11" s="41" t="s">
        <v>95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232</v>
      </c>
      <c r="H11" s="116" t="s">
        <v>231</v>
      </c>
      <c r="I11" s="97" t="str">
        <f t="shared" si="0"/>
        <v>O</v>
      </c>
    </row>
    <row r="12" spans="1:9" s="40" customFormat="1" ht="45" customHeight="1" x14ac:dyDescent="0.3">
      <c r="A12" s="41" t="s">
        <v>95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211</v>
      </c>
      <c r="H12" s="116" t="s">
        <v>212</v>
      </c>
      <c r="I12" s="97" t="str">
        <f t="shared" si="0"/>
        <v>O</v>
      </c>
    </row>
    <row r="13" spans="1:9" s="40" customFormat="1" ht="45" customHeight="1" x14ac:dyDescent="0.3">
      <c r="A13" s="41" t="s">
        <v>95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213</v>
      </c>
      <c r="H13" s="116" t="s">
        <v>228</v>
      </c>
      <c r="I13" s="97" t="str">
        <f t="shared" si="0"/>
        <v>O</v>
      </c>
    </row>
    <row r="14" spans="1:9" s="40" customFormat="1" ht="45" customHeight="1" x14ac:dyDescent="0.3">
      <c r="A14" s="41" t="s">
        <v>95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/>
      <c r="H14" s="116"/>
      <c r="I14" s="97" t="str">
        <f t="shared" si="0"/>
        <v>X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ACF6-174D-4B0A-9A15-EE4C3A281A13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T26" sqref="T26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96</v>
      </c>
      <c r="B5" s="65">
        <v>980001</v>
      </c>
      <c r="C5" s="73" t="s">
        <v>104</v>
      </c>
      <c r="D5" s="72"/>
      <c r="E5" s="72"/>
      <c r="F5" s="72"/>
      <c r="G5" s="113" t="s">
        <v>177</v>
      </c>
      <c r="H5" s="114" t="s">
        <v>178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96</v>
      </c>
      <c r="B6" s="65">
        <v>980001</v>
      </c>
      <c r="C6" s="73" t="s">
        <v>101</v>
      </c>
      <c r="D6" s="72"/>
      <c r="E6" s="72"/>
      <c r="F6" s="72"/>
      <c r="G6" s="113" t="s">
        <v>180</v>
      </c>
      <c r="H6" s="114" t="s">
        <v>181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96</v>
      </c>
      <c r="B7" s="65">
        <v>980001</v>
      </c>
      <c r="C7" s="73" t="s">
        <v>105</v>
      </c>
      <c r="D7" s="72"/>
      <c r="E7" s="72"/>
      <c r="F7" s="72"/>
      <c r="G7" s="113" t="s">
        <v>177</v>
      </c>
      <c r="H7" s="114" t="s">
        <v>179</v>
      </c>
      <c r="I7" s="96" t="str">
        <f t="shared" si="0"/>
        <v>O</v>
      </c>
    </row>
    <row r="8" spans="1:9" s="40" customFormat="1" ht="45" customHeight="1" x14ac:dyDescent="0.3">
      <c r="A8" s="41" t="s">
        <v>96</v>
      </c>
      <c r="B8" s="65">
        <v>980002</v>
      </c>
      <c r="C8" s="73" t="s">
        <v>106</v>
      </c>
      <c r="D8" s="72"/>
      <c r="E8" s="72"/>
      <c r="F8" s="72"/>
      <c r="G8" s="113" t="s">
        <v>183</v>
      </c>
      <c r="H8" s="114" t="s">
        <v>182</v>
      </c>
      <c r="I8" s="96" t="str">
        <f t="shared" si="0"/>
        <v>O</v>
      </c>
    </row>
    <row r="9" spans="1:9" s="40" customFormat="1" ht="45" customHeight="1" x14ac:dyDescent="0.3">
      <c r="A9" s="41" t="s">
        <v>96</v>
      </c>
      <c r="B9" s="65">
        <v>980003</v>
      </c>
      <c r="C9" s="73" t="s">
        <v>107</v>
      </c>
      <c r="D9" s="72"/>
      <c r="E9" s="72"/>
      <c r="F9" s="72"/>
      <c r="G9" s="113" t="s">
        <v>185</v>
      </c>
      <c r="H9" s="114" t="s">
        <v>184</v>
      </c>
      <c r="I9" s="96" t="str">
        <f t="shared" si="0"/>
        <v>O</v>
      </c>
    </row>
    <row r="10" spans="1:9" s="40" customFormat="1" ht="45" customHeight="1" x14ac:dyDescent="0.3">
      <c r="A10" s="41" t="s">
        <v>96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214</v>
      </c>
      <c r="H10" s="116" t="s">
        <v>215</v>
      </c>
      <c r="I10" s="97" t="str">
        <f t="shared" si="0"/>
        <v>O</v>
      </c>
    </row>
    <row r="11" spans="1:9" s="40" customFormat="1" ht="45" customHeight="1" x14ac:dyDescent="0.3">
      <c r="A11" s="41" t="s">
        <v>96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185</v>
      </c>
      <c r="H11" s="116" t="s">
        <v>216</v>
      </c>
      <c r="I11" s="97" t="str">
        <f t="shared" si="0"/>
        <v>O</v>
      </c>
    </row>
    <row r="12" spans="1:9" s="40" customFormat="1" ht="45" customHeight="1" x14ac:dyDescent="0.3">
      <c r="A12" s="41" t="s">
        <v>96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217</v>
      </c>
      <c r="H12" s="116" t="s">
        <v>218</v>
      </c>
      <c r="I12" s="97" t="str">
        <f t="shared" si="0"/>
        <v>O</v>
      </c>
    </row>
    <row r="13" spans="1:9" s="40" customFormat="1" ht="45" customHeight="1" x14ac:dyDescent="0.3">
      <c r="A13" s="41" t="s">
        <v>96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219</v>
      </c>
      <c r="H13" s="116" t="s">
        <v>220</v>
      </c>
      <c r="I13" s="97" t="str">
        <f t="shared" si="0"/>
        <v>O</v>
      </c>
    </row>
    <row r="14" spans="1:9" s="40" customFormat="1" ht="45" customHeight="1" x14ac:dyDescent="0.3">
      <c r="A14" s="41" t="s">
        <v>96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 t="s">
        <v>221</v>
      </c>
      <c r="H14" s="116" t="s">
        <v>222</v>
      </c>
      <c r="I14" s="97" t="str">
        <f t="shared" si="0"/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7043-9105-4B1A-82EE-FCF745AF4855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B2" sqref="B2:B4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97</v>
      </c>
      <c r="B5" s="65">
        <v>980001</v>
      </c>
      <c r="C5" s="73" t="s">
        <v>104</v>
      </c>
      <c r="D5" s="72"/>
      <c r="E5" s="72"/>
      <c r="F5" s="72"/>
      <c r="G5" s="122"/>
      <c r="H5" s="122"/>
      <c r="I5" s="123"/>
    </row>
    <row r="6" spans="1:9" s="40" customFormat="1" ht="45" customHeight="1" x14ac:dyDescent="0.3">
      <c r="A6" s="41" t="s">
        <v>97</v>
      </c>
      <c r="B6" s="65">
        <v>980001</v>
      </c>
      <c r="C6" s="73" t="s">
        <v>101</v>
      </c>
      <c r="D6" s="72"/>
      <c r="E6" s="72"/>
      <c r="F6" s="72"/>
      <c r="G6" s="113" t="s">
        <v>186</v>
      </c>
      <c r="H6" s="114" t="s">
        <v>187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97</v>
      </c>
      <c r="B7" s="65">
        <v>980001</v>
      </c>
      <c r="C7" s="73" t="s">
        <v>105</v>
      </c>
      <c r="D7" s="72"/>
      <c r="E7" s="72"/>
      <c r="F7" s="72"/>
      <c r="G7" s="113" t="s">
        <v>240</v>
      </c>
      <c r="H7" s="114" t="s">
        <v>239</v>
      </c>
      <c r="I7" s="96" t="str">
        <f t="shared" si="0"/>
        <v>O</v>
      </c>
    </row>
    <row r="8" spans="1:9" s="40" customFormat="1" ht="45" customHeight="1" x14ac:dyDescent="0.3">
      <c r="A8" s="41" t="s">
        <v>97</v>
      </c>
      <c r="B8" s="65">
        <v>980002</v>
      </c>
      <c r="C8" s="73" t="s">
        <v>106</v>
      </c>
      <c r="D8" s="72"/>
      <c r="E8" s="72"/>
      <c r="F8" s="72"/>
      <c r="G8" s="113" t="s">
        <v>189</v>
      </c>
      <c r="H8" s="114" t="s">
        <v>188</v>
      </c>
      <c r="I8" s="96" t="str">
        <f t="shared" si="0"/>
        <v>O</v>
      </c>
    </row>
    <row r="9" spans="1:9" s="40" customFormat="1" ht="45" customHeight="1" x14ac:dyDescent="0.3">
      <c r="A9" s="41" t="s">
        <v>97</v>
      </c>
      <c r="B9" s="65">
        <v>980003</v>
      </c>
      <c r="C9" s="73" t="s">
        <v>107</v>
      </c>
      <c r="D9" s="72"/>
      <c r="E9" s="72"/>
      <c r="F9" s="72"/>
      <c r="G9" s="113" t="s">
        <v>191</v>
      </c>
      <c r="H9" s="114" t="s">
        <v>190</v>
      </c>
      <c r="I9" s="96" t="str">
        <f t="shared" si="0"/>
        <v>O</v>
      </c>
    </row>
    <row r="10" spans="1:9" s="40" customFormat="1" ht="45" customHeight="1" x14ac:dyDescent="0.3">
      <c r="A10" s="41" t="s">
        <v>97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282</v>
      </c>
      <c r="H10" s="116" t="s">
        <v>283</v>
      </c>
      <c r="I10" s="97" t="str">
        <f t="shared" si="0"/>
        <v>O</v>
      </c>
    </row>
    <row r="11" spans="1:9" s="40" customFormat="1" ht="45" customHeight="1" x14ac:dyDescent="0.3">
      <c r="A11" s="41" t="s">
        <v>97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224</v>
      </c>
      <c r="H11" s="116" t="s">
        <v>223</v>
      </c>
      <c r="I11" s="97" t="str">
        <f t="shared" si="0"/>
        <v>O</v>
      </c>
    </row>
    <row r="12" spans="1:9" s="40" customFormat="1" ht="45" customHeight="1" x14ac:dyDescent="0.3">
      <c r="A12" s="41" t="s">
        <v>97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225</v>
      </c>
      <c r="H12" s="116" t="s">
        <v>226</v>
      </c>
      <c r="I12" s="97" t="str">
        <f t="shared" si="0"/>
        <v>O</v>
      </c>
    </row>
    <row r="13" spans="1:9" s="40" customFormat="1" ht="45" customHeight="1" x14ac:dyDescent="0.3">
      <c r="A13" s="41" t="s">
        <v>97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285</v>
      </c>
      <c r="H13" s="116" t="s">
        <v>284</v>
      </c>
      <c r="I13" s="97" t="str">
        <f t="shared" si="0"/>
        <v>O</v>
      </c>
    </row>
    <row r="14" spans="1:9" s="40" customFormat="1" ht="45" customHeight="1" x14ac:dyDescent="0.3">
      <c r="A14" s="41" t="s">
        <v>97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 t="s">
        <v>287</v>
      </c>
      <c r="H14" s="116" t="s">
        <v>286</v>
      </c>
      <c r="I14" s="97" t="str">
        <f t="shared" si="0"/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16B6-986A-4CF8-BB29-17DEC48468CA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H14" sqref="H14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98</v>
      </c>
      <c r="B5" s="65">
        <v>980001</v>
      </c>
      <c r="C5" s="73" t="s">
        <v>104</v>
      </c>
      <c r="D5" s="72"/>
      <c r="E5" s="72"/>
      <c r="F5" s="72"/>
      <c r="G5" s="113" t="s">
        <v>193</v>
      </c>
      <c r="H5" s="114" t="s">
        <v>192</v>
      </c>
      <c r="I5" s="96" t="str">
        <f>IF(NOT(ISBLANK(G5))*NOT(ISBLANK(H5))=1, "O", "X")</f>
        <v>O</v>
      </c>
    </row>
    <row r="6" spans="1:9" s="40" customFormat="1" ht="45" customHeight="1" x14ac:dyDescent="0.3">
      <c r="A6" s="41" t="s">
        <v>98</v>
      </c>
      <c r="B6" s="65">
        <v>980001</v>
      </c>
      <c r="C6" s="73" t="s">
        <v>101</v>
      </c>
      <c r="D6" s="72"/>
      <c r="E6" s="72"/>
      <c r="F6" s="72"/>
      <c r="G6" s="113" t="s">
        <v>244</v>
      </c>
      <c r="H6" s="114" t="s">
        <v>243</v>
      </c>
      <c r="I6" s="96" t="str">
        <f t="shared" ref="I6:I14" si="0">IF(NOT(ISBLANK(G6))*NOT(ISBLANK(H6))=1, "O", "X")</f>
        <v>O</v>
      </c>
    </row>
    <row r="7" spans="1:9" s="40" customFormat="1" ht="45" customHeight="1" x14ac:dyDescent="0.3">
      <c r="A7" s="41" t="s">
        <v>98</v>
      </c>
      <c r="B7" s="65">
        <v>980001</v>
      </c>
      <c r="C7" s="73" t="s">
        <v>105</v>
      </c>
      <c r="D7" s="72"/>
      <c r="E7" s="72"/>
      <c r="F7" s="72"/>
      <c r="G7" s="113" t="s">
        <v>241</v>
      </c>
      <c r="H7" s="114" t="s">
        <v>242</v>
      </c>
      <c r="I7" s="96" t="str">
        <f t="shared" si="0"/>
        <v>O</v>
      </c>
    </row>
    <row r="8" spans="1:9" s="40" customFormat="1" ht="45" customHeight="1" x14ac:dyDescent="0.3">
      <c r="A8" s="41" t="s">
        <v>98</v>
      </c>
      <c r="B8" s="65">
        <v>980002</v>
      </c>
      <c r="C8" s="73" t="s">
        <v>106</v>
      </c>
      <c r="D8" s="72"/>
      <c r="E8" s="72"/>
      <c r="F8" s="72"/>
      <c r="G8" s="113" t="s">
        <v>195</v>
      </c>
      <c r="H8" s="114" t="s">
        <v>194</v>
      </c>
      <c r="I8" s="96" t="str">
        <f t="shared" si="0"/>
        <v>O</v>
      </c>
    </row>
    <row r="9" spans="1:9" s="40" customFormat="1" ht="45" customHeight="1" x14ac:dyDescent="0.3">
      <c r="A9" s="41" t="s">
        <v>98</v>
      </c>
      <c r="B9" s="65">
        <v>980003</v>
      </c>
      <c r="C9" s="73" t="s">
        <v>107</v>
      </c>
      <c r="D9" s="72"/>
      <c r="E9" s="72"/>
      <c r="F9" s="72"/>
      <c r="G9" s="113" t="s">
        <v>235</v>
      </c>
      <c r="H9" s="114" t="s">
        <v>234</v>
      </c>
      <c r="I9" s="96" t="str">
        <f t="shared" si="0"/>
        <v>O</v>
      </c>
    </row>
    <row r="10" spans="1:9" s="40" customFormat="1" ht="45" customHeight="1" x14ac:dyDescent="0.3">
      <c r="A10" s="41" t="s">
        <v>98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115" t="s">
        <v>289</v>
      </c>
      <c r="H10" s="116" t="s">
        <v>288</v>
      </c>
      <c r="I10" s="97" t="str">
        <f t="shared" si="0"/>
        <v>O</v>
      </c>
    </row>
    <row r="11" spans="1:9" s="40" customFormat="1" ht="45" customHeight="1" x14ac:dyDescent="0.3">
      <c r="A11" s="41" t="s">
        <v>98</v>
      </c>
      <c r="B11" s="45">
        <v>980004</v>
      </c>
      <c r="C11" s="74" t="s">
        <v>118</v>
      </c>
      <c r="D11" s="42" t="s">
        <v>52</v>
      </c>
      <c r="E11" s="69"/>
      <c r="F11" s="69"/>
      <c r="G11" s="115" t="s">
        <v>236</v>
      </c>
      <c r="H11" s="116" t="s">
        <v>233</v>
      </c>
      <c r="I11" s="97" t="str">
        <f t="shared" si="0"/>
        <v>O</v>
      </c>
    </row>
    <row r="12" spans="1:9" s="40" customFormat="1" ht="45" customHeight="1" x14ac:dyDescent="0.3">
      <c r="A12" s="41" t="s">
        <v>98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115" t="s">
        <v>262</v>
      </c>
      <c r="H12" s="116" t="s">
        <v>261</v>
      </c>
      <c r="I12" s="97" t="str">
        <f t="shared" si="0"/>
        <v>O</v>
      </c>
    </row>
    <row r="13" spans="1:9" s="40" customFormat="1" ht="45" customHeight="1" x14ac:dyDescent="0.3">
      <c r="A13" s="41" t="s">
        <v>98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115" t="s">
        <v>260</v>
      </c>
      <c r="H13" s="116" t="s">
        <v>259</v>
      </c>
      <c r="I13" s="97" t="str">
        <f t="shared" si="0"/>
        <v>O</v>
      </c>
    </row>
    <row r="14" spans="1:9" s="40" customFormat="1" ht="45" customHeight="1" x14ac:dyDescent="0.3">
      <c r="A14" s="41" t="s">
        <v>98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115"/>
      <c r="H14" s="116"/>
      <c r="I14" s="97" t="str">
        <f t="shared" si="0"/>
        <v>X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6983-D837-44E1-8D7A-ED8D0C527829}">
  <sheetPr>
    <tabColor theme="5" tint="-0.499984740745262"/>
  </sheetPr>
  <dimension ref="A1:K14"/>
  <sheetViews>
    <sheetView zoomScale="70" zoomScaleNormal="70" workbookViewId="0">
      <pane ySplit="4" topLeftCell="A5" activePane="bottomLeft" state="frozen"/>
      <selection pane="bottomLeft" activeCell="C10" sqref="C10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38" customWidth="1"/>
    <col min="8" max="8" width="20.625" style="38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5" t="s">
        <v>78</v>
      </c>
      <c r="H2" s="165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6"/>
      <c r="H3" s="166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67"/>
      <c r="H4" s="167"/>
      <c r="I4" s="167"/>
    </row>
    <row r="5" spans="1:9" s="40" customFormat="1" ht="45" customHeight="1" x14ac:dyDescent="0.3">
      <c r="A5" s="41" t="s">
        <v>99</v>
      </c>
      <c r="B5" s="65">
        <v>980001</v>
      </c>
      <c r="C5" s="73" t="s">
        <v>104</v>
      </c>
      <c r="D5" s="72"/>
      <c r="E5" s="72"/>
      <c r="F5" s="72"/>
      <c r="G5" s="63"/>
      <c r="H5" s="64"/>
      <c r="I5" s="96" t="str">
        <f>IF(NOT(ISBLANK(G5))*NOT(ISBLANK(H5))=1, "O", "X")</f>
        <v>X</v>
      </c>
    </row>
    <row r="6" spans="1:9" s="40" customFormat="1" ht="45" customHeight="1" x14ac:dyDescent="0.3">
      <c r="A6" s="41" t="s">
        <v>99</v>
      </c>
      <c r="B6" s="65">
        <v>980001</v>
      </c>
      <c r="C6" s="73" t="s">
        <v>101</v>
      </c>
      <c r="D6" s="72"/>
      <c r="E6" s="72"/>
      <c r="F6" s="72"/>
      <c r="G6" s="63"/>
      <c r="H6" s="64"/>
      <c r="I6" s="96" t="str">
        <f t="shared" ref="I6:I14" si="0">IF(NOT(ISBLANK(G6))*NOT(ISBLANK(H6))=1, "O", "X")</f>
        <v>X</v>
      </c>
    </row>
    <row r="7" spans="1:9" s="40" customFormat="1" ht="45" customHeight="1" x14ac:dyDescent="0.3">
      <c r="A7" s="41" t="s">
        <v>99</v>
      </c>
      <c r="B7" s="65">
        <v>980001</v>
      </c>
      <c r="C7" s="73" t="s">
        <v>105</v>
      </c>
      <c r="D7" s="72"/>
      <c r="E7" s="72"/>
      <c r="F7" s="72"/>
      <c r="G7" s="63"/>
      <c r="H7" s="64"/>
      <c r="I7" s="96" t="str">
        <f t="shared" si="0"/>
        <v>X</v>
      </c>
    </row>
    <row r="8" spans="1:9" s="40" customFormat="1" ht="45" customHeight="1" x14ac:dyDescent="0.3">
      <c r="A8" s="41" t="s">
        <v>99</v>
      </c>
      <c r="B8" s="65">
        <v>980002</v>
      </c>
      <c r="C8" s="73" t="s">
        <v>106</v>
      </c>
      <c r="D8" s="72"/>
      <c r="E8" s="72"/>
      <c r="F8" s="72"/>
      <c r="G8" s="63"/>
      <c r="H8" s="64"/>
      <c r="I8" s="96" t="str">
        <f t="shared" si="0"/>
        <v>X</v>
      </c>
    </row>
    <row r="9" spans="1:9" s="40" customFormat="1" ht="45" customHeight="1" x14ac:dyDescent="0.3">
      <c r="A9" s="41" t="s">
        <v>99</v>
      </c>
      <c r="B9" s="65">
        <v>980003</v>
      </c>
      <c r="C9" s="73" t="s">
        <v>107</v>
      </c>
      <c r="D9" s="72"/>
      <c r="E9" s="72"/>
      <c r="F9" s="72"/>
      <c r="G9" s="63"/>
      <c r="H9" s="64"/>
      <c r="I9" s="96" t="str">
        <f t="shared" si="0"/>
        <v>X</v>
      </c>
    </row>
    <row r="10" spans="1:9" s="40" customFormat="1" ht="45" customHeight="1" x14ac:dyDescent="0.3">
      <c r="A10" s="41" t="s">
        <v>99</v>
      </c>
      <c r="B10" s="45">
        <v>980004</v>
      </c>
      <c r="C10" s="74" t="s">
        <v>117</v>
      </c>
      <c r="D10" s="42" t="s">
        <v>81</v>
      </c>
      <c r="E10" s="42" t="s">
        <v>81</v>
      </c>
      <c r="F10" s="69"/>
      <c r="G10" s="43"/>
      <c r="H10" s="44"/>
      <c r="I10" s="97" t="str">
        <f t="shared" si="0"/>
        <v>X</v>
      </c>
    </row>
    <row r="11" spans="1:9" s="40" customFormat="1" ht="45" customHeight="1" x14ac:dyDescent="0.3">
      <c r="A11" s="41" t="s">
        <v>99</v>
      </c>
      <c r="B11" s="45">
        <v>980004</v>
      </c>
      <c r="C11" s="74" t="s">
        <v>118</v>
      </c>
      <c r="D11" s="42" t="s">
        <v>52</v>
      </c>
      <c r="E11" s="69"/>
      <c r="F11" s="69"/>
      <c r="G11" s="43"/>
      <c r="H11" s="44"/>
      <c r="I11" s="97" t="str">
        <f t="shared" si="0"/>
        <v>X</v>
      </c>
    </row>
    <row r="12" spans="1:9" s="40" customFormat="1" ht="45" customHeight="1" x14ac:dyDescent="0.3">
      <c r="A12" s="41" t="s">
        <v>99</v>
      </c>
      <c r="B12" s="45">
        <v>980004</v>
      </c>
      <c r="C12" s="74" t="s">
        <v>119</v>
      </c>
      <c r="D12" s="42" t="s">
        <v>81</v>
      </c>
      <c r="E12" s="42" t="s">
        <v>122</v>
      </c>
      <c r="F12" s="69"/>
      <c r="G12" s="43"/>
      <c r="H12" s="44"/>
      <c r="I12" s="97" t="str">
        <f t="shared" si="0"/>
        <v>X</v>
      </c>
    </row>
    <row r="13" spans="1:9" s="40" customFormat="1" ht="45" customHeight="1" x14ac:dyDescent="0.3">
      <c r="A13" s="41" t="s">
        <v>99</v>
      </c>
      <c r="B13" s="45">
        <v>980004</v>
      </c>
      <c r="C13" s="74" t="s">
        <v>120</v>
      </c>
      <c r="D13" s="42" t="s">
        <v>81</v>
      </c>
      <c r="E13" s="42" t="s">
        <v>82</v>
      </c>
      <c r="F13" s="42" t="s">
        <v>81</v>
      </c>
      <c r="G13" s="43"/>
      <c r="H13" s="44"/>
      <c r="I13" s="97" t="str">
        <f t="shared" si="0"/>
        <v>X</v>
      </c>
    </row>
    <row r="14" spans="1:9" s="40" customFormat="1" ht="45" customHeight="1" x14ac:dyDescent="0.3">
      <c r="A14" s="41" t="s">
        <v>99</v>
      </c>
      <c r="B14" s="45">
        <v>980004</v>
      </c>
      <c r="C14" s="74" t="s">
        <v>121</v>
      </c>
      <c r="D14" s="42" t="s">
        <v>81</v>
      </c>
      <c r="E14" s="42" t="s">
        <v>82</v>
      </c>
      <c r="F14" s="42" t="s">
        <v>82</v>
      </c>
      <c r="G14" s="43"/>
      <c r="H14" s="44"/>
      <c r="I14" s="97" t="str">
        <f t="shared" si="0"/>
        <v>X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828E-BDB8-4E16-AB65-035308B8DCBD}">
  <sheetPr>
    <tabColor theme="5" tint="-0.499984740745262"/>
  </sheetPr>
  <dimension ref="A1:K5"/>
  <sheetViews>
    <sheetView zoomScale="70" zoomScaleNormal="70" workbookViewId="0">
      <pane ySplit="4" topLeftCell="A5" activePane="bottomLeft" state="frozen"/>
      <selection pane="bottomLeft" activeCell="H5" sqref="H5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112" customWidth="1"/>
    <col min="8" max="8" width="20.625" style="112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8" t="s">
        <v>78</v>
      </c>
      <c r="H2" s="168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9"/>
      <c r="H3" s="169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70"/>
      <c r="H4" s="170"/>
      <c r="I4" s="167"/>
    </row>
    <row r="5" spans="1:9" s="40" customFormat="1" ht="45" customHeight="1" x14ac:dyDescent="0.3">
      <c r="A5" s="41" t="s">
        <v>128</v>
      </c>
      <c r="B5" s="65">
        <v>980003</v>
      </c>
      <c r="C5" s="73" t="s">
        <v>107</v>
      </c>
      <c r="D5" s="72"/>
      <c r="E5" s="72"/>
      <c r="F5" s="72"/>
      <c r="G5" s="113" t="s">
        <v>197</v>
      </c>
      <c r="H5" s="114" t="s">
        <v>196</v>
      </c>
      <c r="I5" s="96" t="str">
        <f>IF(NOT(ISBLANK(G5))*NOT(ISBLANK(H5))=1, "O", "X")</f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0AFB-4631-4FC4-946A-D3B38CCC4585}">
  <sheetPr>
    <tabColor theme="5" tint="-0.499984740745262"/>
  </sheetPr>
  <dimension ref="A1:K5"/>
  <sheetViews>
    <sheetView zoomScale="70" zoomScaleNormal="70" workbookViewId="0">
      <pane ySplit="4" topLeftCell="A5" activePane="bottomLeft" state="frozen"/>
      <selection pane="bottomLeft" activeCell="H5" sqref="H5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38" customWidth="1"/>
    <col min="8" max="8" width="20.625" style="38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5" t="s">
        <v>78</v>
      </c>
      <c r="H2" s="165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6"/>
      <c r="H3" s="166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67"/>
      <c r="H4" s="167"/>
      <c r="I4" s="167"/>
    </row>
    <row r="5" spans="1:9" s="40" customFormat="1" ht="45" customHeight="1" x14ac:dyDescent="0.3">
      <c r="A5" s="41" t="s">
        <v>129</v>
      </c>
      <c r="B5" s="65">
        <v>980003</v>
      </c>
      <c r="C5" s="73" t="s">
        <v>107</v>
      </c>
      <c r="D5" s="72"/>
      <c r="E5" s="72"/>
      <c r="F5" s="72"/>
      <c r="G5" s="113" t="s">
        <v>142</v>
      </c>
      <c r="H5" s="114" t="s">
        <v>141</v>
      </c>
      <c r="I5" s="96" t="str">
        <f>IF(NOT(ISBLANK(G5))*NOT(ISBLANK(H5))=1, "O", "X")</f>
        <v>O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F20B-67FE-46DE-834C-D25345FDF780}">
  <sheetPr>
    <tabColor theme="5" tint="-0.499984740745262"/>
  </sheetPr>
  <dimension ref="A1:K5"/>
  <sheetViews>
    <sheetView zoomScale="70" zoomScaleNormal="70" workbookViewId="0">
      <pane ySplit="4" topLeftCell="A5" activePane="bottomLeft" state="frozen"/>
      <selection pane="bottomLeft" activeCell="G6" sqref="G6"/>
    </sheetView>
  </sheetViews>
  <sheetFormatPr defaultRowHeight="16.5" customHeight="1" x14ac:dyDescent="0.3"/>
  <cols>
    <col min="1" max="1" width="11.125" style="37" bestFit="1" customWidth="1"/>
    <col min="2" max="2" width="12.75" style="37" customWidth="1"/>
    <col min="3" max="3" width="40" style="40" customWidth="1"/>
    <col min="4" max="6" width="11.625" style="40" customWidth="1"/>
    <col min="7" max="7" width="13.375" style="38" customWidth="1"/>
    <col min="8" max="8" width="20.625" style="38" customWidth="1"/>
    <col min="9" max="9" width="9" style="38" bestFit="1" customWidth="1"/>
    <col min="10" max="11" width="7.875" style="40" customWidth="1"/>
    <col min="12" max="16384" width="9" style="46"/>
  </cols>
  <sheetData>
    <row r="1" spans="1:9" ht="16.5" customHeight="1" x14ac:dyDescent="0.3">
      <c r="A1" s="40"/>
    </row>
    <row r="2" spans="1:9" ht="14.25" customHeight="1" x14ac:dyDescent="0.3">
      <c r="A2" s="162" t="s">
        <v>76</v>
      </c>
      <c r="B2" s="162" t="s">
        <v>100</v>
      </c>
      <c r="C2" s="165" t="s">
        <v>77</v>
      </c>
      <c r="D2" s="162" t="s">
        <v>102</v>
      </c>
      <c r="E2" s="162" t="s">
        <v>103</v>
      </c>
      <c r="F2" s="162" t="s">
        <v>90</v>
      </c>
      <c r="G2" s="165" t="s">
        <v>78</v>
      </c>
      <c r="H2" s="165" t="s">
        <v>79</v>
      </c>
      <c r="I2" s="165" t="s">
        <v>80</v>
      </c>
    </row>
    <row r="3" spans="1:9" ht="14.25" customHeight="1" x14ac:dyDescent="0.3">
      <c r="A3" s="163"/>
      <c r="B3" s="163"/>
      <c r="C3" s="166"/>
      <c r="D3" s="163"/>
      <c r="E3" s="163"/>
      <c r="F3" s="163"/>
      <c r="G3" s="166"/>
      <c r="H3" s="166"/>
      <c r="I3" s="166"/>
    </row>
    <row r="4" spans="1:9" ht="76.5" customHeight="1" x14ac:dyDescent="0.3">
      <c r="A4" s="164"/>
      <c r="B4" s="164"/>
      <c r="C4" s="167"/>
      <c r="D4" s="164"/>
      <c r="E4" s="164"/>
      <c r="F4" s="164"/>
      <c r="G4" s="167"/>
      <c r="H4" s="167"/>
      <c r="I4" s="167"/>
    </row>
    <row r="5" spans="1:9" s="40" customFormat="1" ht="45" customHeight="1" x14ac:dyDescent="0.3">
      <c r="A5" s="41" t="s">
        <v>130</v>
      </c>
      <c r="B5" s="65">
        <v>980003</v>
      </c>
      <c r="C5" s="73" t="s">
        <v>107</v>
      </c>
      <c r="D5" s="72"/>
      <c r="E5" s="72"/>
      <c r="F5" s="72"/>
      <c r="G5" s="63"/>
      <c r="H5" s="64"/>
      <c r="I5" s="96" t="str">
        <f>IF(NOT(ISBLANK(G5))*NOT(ISBLANK(H5))=1, "O", "X")</f>
        <v>X</v>
      </c>
    </row>
  </sheetData>
  <mergeCells count="9">
    <mergeCell ref="G2:G4"/>
    <mergeCell ref="H2:H4"/>
    <mergeCell ref="I2:I4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12</vt:i4>
      </vt:variant>
    </vt:vector>
  </HeadingPairs>
  <TitlesOfParts>
    <vt:vector size="26" baseType="lpstr">
      <vt:lpstr>카드이동서비스채널확대_테스트현황(요약)</vt:lpstr>
      <vt:lpstr>카드이동서비스채널확대_테스트현황(상세)</vt:lpstr>
      <vt:lpstr>KB국민카드</vt:lpstr>
      <vt:lpstr>삼성카드</vt:lpstr>
      <vt:lpstr>롯데카드</vt:lpstr>
      <vt:lpstr>현대카드</vt:lpstr>
      <vt:lpstr>비씨카드</vt:lpstr>
      <vt:lpstr>하나카드</vt:lpstr>
      <vt:lpstr>신한카드</vt:lpstr>
      <vt:lpstr>농협카드</vt:lpstr>
      <vt:lpstr>전북은행카드</vt:lpstr>
      <vt:lpstr>토스뱅크</vt:lpstr>
      <vt:lpstr>전북은행</vt:lpstr>
      <vt:lpstr>케이뱅크</vt:lpstr>
      <vt:lpstr>KB국민카드!_FilterDatabase</vt:lpstr>
      <vt:lpstr>농협카드!_FilterDatabase</vt:lpstr>
      <vt:lpstr>롯데카드!_FilterDatabase</vt:lpstr>
      <vt:lpstr>비씨카드!_FilterDatabase</vt:lpstr>
      <vt:lpstr>삼성카드!_FilterDatabase</vt:lpstr>
      <vt:lpstr>신한카드!_FilterDatabase</vt:lpstr>
      <vt:lpstr>전북은행!_FilterDatabase</vt:lpstr>
      <vt:lpstr>전북은행카드!_FilterDatabase</vt:lpstr>
      <vt:lpstr>케이뱅크!_FilterDatabase</vt:lpstr>
      <vt:lpstr>토스뱅크!_FilterDatabase</vt:lpstr>
      <vt:lpstr>하나카드!_FilterDatabase</vt:lpstr>
      <vt:lpstr>현대카드!_FilterDatabase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kftc</dc:creator>
  <cp:lastModifiedBy>kftc</cp:lastModifiedBy>
  <dcterms:created xsi:type="dcterms:W3CDTF">2025-11-03T00:36:54Z</dcterms:created>
  <dcterms:modified xsi:type="dcterms:W3CDTF">2026-10-21T06:56:14Z</dcterms:modified>
</cp:coreProperties>
</file>